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n/github/domhain/00-lab_work/"/>
    </mc:Choice>
  </mc:AlternateContent>
  <xr:revisionPtr revIDLastSave="0" documentId="8_{85EBEDFA-C613-C540-A18B-3DD997787BDF}" xr6:coauthVersionLast="47" xr6:coauthVersionMax="47" xr10:uidLastSave="{00000000-0000-0000-0000-000000000000}"/>
  <bookViews>
    <workbookView xWindow="0" yWindow="0" windowWidth="28800" windowHeight="16780" xr2:uid="{25EF225F-F6DD-7546-AEFD-C575EC6ACFFB}"/>
  </bookViews>
  <sheets>
    <sheet name="plate 1 &amp; 2" sheetId="3" r:id="rId1"/>
    <sheet name="dilution plates" sheetId="5" r:id="rId2"/>
  </sheets>
  <definedNames>
    <definedName name="_xlnm.Print_Area" localSheetId="0">'plate 1 &amp; 2'!$A$1:$M$25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6" i="3" l="1"/>
  <c r="J3" i="3"/>
  <c r="J4" i="3"/>
  <c r="J5" i="3"/>
  <c r="J6" i="3"/>
  <c r="K6" i="3" s="1"/>
  <c r="L6" i="3" s="1"/>
  <c r="J7" i="3"/>
  <c r="K7" i="3" s="1"/>
  <c r="L7" i="3" s="1"/>
  <c r="J8" i="3"/>
  <c r="K8" i="3" s="1"/>
  <c r="L8" i="3" s="1"/>
  <c r="J9" i="3"/>
  <c r="K9" i="3" s="1"/>
  <c r="L9" i="3" s="1"/>
  <c r="J10" i="3"/>
  <c r="K10" i="3" s="1"/>
  <c r="L10" i="3" s="1"/>
  <c r="J11" i="3"/>
  <c r="K11" i="3" s="1"/>
  <c r="L11" i="3" s="1"/>
  <c r="J12" i="3"/>
  <c r="K12" i="3" s="1"/>
  <c r="L12" i="3" s="1"/>
  <c r="J13" i="3"/>
  <c r="K13" i="3" s="1"/>
  <c r="L13" i="3" s="1"/>
  <c r="J14" i="3"/>
  <c r="K14" i="3" s="1"/>
  <c r="L14" i="3" s="1"/>
  <c r="J15" i="3"/>
  <c r="J16" i="3"/>
  <c r="K16" i="3" s="1"/>
  <c r="L16" i="3" s="1"/>
  <c r="J17" i="3"/>
  <c r="K17" i="3" s="1"/>
  <c r="L17" i="3" s="1"/>
  <c r="J18" i="3"/>
  <c r="K18" i="3" s="1"/>
  <c r="L18" i="3" s="1"/>
  <c r="J19" i="3"/>
  <c r="K19" i="3" s="1"/>
  <c r="L19" i="3" s="1"/>
  <c r="J20" i="3"/>
  <c r="K20" i="3" s="1"/>
  <c r="L20" i="3" s="1"/>
  <c r="J21" i="3"/>
  <c r="K21" i="3" s="1"/>
  <c r="L21" i="3" s="1"/>
  <c r="J22" i="3"/>
  <c r="K22" i="3" s="1"/>
  <c r="L22" i="3" s="1"/>
  <c r="J23" i="3"/>
  <c r="K23" i="3" s="1"/>
  <c r="L23" i="3" s="1"/>
  <c r="J24" i="3"/>
  <c r="K24" i="3" s="1"/>
  <c r="L24" i="3" s="1"/>
  <c r="J25" i="3"/>
  <c r="K25" i="3" s="1"/>
  <c r="L25" i="3" s="1"/>
  <c r="J26" i="3"/>
  <c r="K26" i="3" s="1"/>
  <c r="L26" i="3" s="1"/>
  <c r="J27" i="3"/>
  <c r="K27" i="3" s="1"/>
  <c r="L27" i="3" s="1"/>
  <c r="J28" i="3"/>
  <c r="K28" i="3" s="1"/>
  <c r="L28" i="3" s="1"/>
  <c r="J29" i="3"/>
  <c r="K29" i="3" s="1"/>
  <c r="L29" i="3" s="1"/>
  <c r="J30" i="3"/>
  <c r="K30" i="3" s="1"/>
  <c r="L30" i="3" s="1"/>
  <c r="J31" i="3"/>
  <c r="K31" i="3" s="1"/>
  <c r="L31" i="3" s="1"/>
  <c r="J32" i="3"/>
  <c r="K32" i="3" s="1"/>
  <c r="L32" i="3" s="1"/>
  <c r="J33" i="3"/>
  <c r="K33" i="3" s="1"/>
  <c r="L33" i="3" s="1"/>
  <c r="J34" i="3"/>
  <c r="K34" i="3" s="1"/>
  <c r="L34" i="3" s="1"/>
  <c r="J35" i="3"/>
  <c r="K35" i="3" s="1"/>
  <c r="L35" i="3" s="1"/>
  <c r="J36" i="3"/>
  <c r="K36" i="3" s="1"/>
  <c r="L36" i="3" s="1"/>
  <c r="J37" i="3"/>
  <c r="K37" i="3" s="1"/>
  <c r="L37" i="3" s="1"/>
  <c r="J38" i="3"/>
  <c r="K38" i="3" s="1"/>
  <c r="L38" i="3" s="1"/>
  <c r="J39" i="3"/>
  <c r="K39" i="3" s="1"/>
  <c r="L39" i="3" s="1"/>
  <c r="J40" i="3"/>
  <c r="K40" i="3" s="1"/>
  <c r="L40" i="3" s="1"/>
  <c r="J41" i="3"/>
  <c r="K41" i="3" s="1"/>
  <c r="L41" i="3" s="1"/>
  <c r="J42" i="3"/>
  <c r="K42" i="3" s="1"/>
  <c r="L42" i="3" s="1"/>
  <c r="J43" i="3"/>
  <c r="K43" i="3" s="1"/>
  <c r="L43" i="3" s="1"/>
  <c r="J44" i="3"/>
  <c r="K44" i="3" s="1"/>
  <c r="L44" i="3" s="1"/>
  <c r="J45" i="3"/>
  <c r="K45" i="3" s="1"/>
  <c r="L45" i="3" s="1"/>
  <c r="J46" i="3"/>
  <c r="K46" i="3" s="1"/>
  <c r="L46" i="3" s="1"/>
  <c r="J47" i="3"/>
  <c r="K47" i="3" s="1"/>
  <c r="L47" i="3" s="1"/>
  <c r="J48" i="3"/>
  <c r="K48" i="3" s="1"/>
  <c r="L48" i="3" s="1"/>
  <c r="J49" i="3"/>
  <c r="J50" i="3"/>
  <c r="K50" i="3" s="1"/>
  <c r="L50" i="3" s="1"/>
  <c r="J51" i="3"/>
  <c r="K51" i="3" s="1"/>
  <c r="L51" i="3" s="1"/>
  <c r="J52" i="3"/>
  <c r="K52" i="3" s="1"/>
  <c r="L52" i="3" s="1"/>
  <c r="J53" i="3"/>
  <c r="K53" i="3" s="1"/>
  <c r="L53" i="3" s="1"/>
  <c r="J54" i="3"/>
  <c r="K54" i="3" s="1"/>
  <c r="L54" i="3" s="1"/>
  <c r="J55" i="3"/>
  <c r="K55" i="3" s="1"/>
  <c r="L55" i="3" s="1"/>
  <c r="J56" i="3"/>
  <c r="K56" i="3" s="1"/>
  <c r="L56" i="3" s="1"/>
  <c r="J57" i="3"/>
  <c r="K57" i="3" s="1"/>
  <c r="L57" i="3" s="1"/>
  <c r="J58" i="3"/>
  <c r="K58" i="3" s="1"/>
  <c r="L58" i="3" s="1"/>
  <c r="J59" i="3"/>
  <c r="K59" i="3" s="1"/>
  <c r="L59" i="3" s="1"/>
  <c r="J60" i="3"/>
  <c r="J61" i="3"/>
  <c r="K61" i="3" s="1"/>
  <c r="L61" i="3" s="1"/>
  <c r="J62" i="3"/>
  <c r="K62" i="3" s="1"/>
  <c r="L62" i="3" s="1"/>
  <c r="J63" i="3"/>
  <c r="K63" i="3" s="1"/>
  <c r="L63" i="3" s="1"/>
  <c r="J64" i="3"/>
  <c r="K64" i="3" s="1"/>
  <c r="L64" i="3" s="1"/>
  <c r="J65" i="3"/>
  <c r="K65" i="3" s="1"/>
  <c r="L65" i="3" s="1"/>
  <c r="J66" i="3"/>
  <c r="K66" i="3" s="1"/>
  <c r="L66" i="3" s="1"/>
  <c r="J67" i="3"/>
  <c r="K67" i="3" s="1"/>
  <c r="L67" i="3" s="1"/>
  <c r="J68" i="3"/>
  <c r="K68" i="3" s="1"/>
  <c r="L68" i="3" s="1"/>
  <c r="J69" i="3"/>
  <c r="K69" i="3" s="1"/>
  <c r="L69" i="3" s="1"/>
  <c r="J70" i="3"/>
  <c r="K70" i="3" s="1"/>
  <c r="L70" i="3" s="1"/>
  <c r="J71" i="3"/>
  <c r="K71" i="3" s="1"/>
  <c r="L71" i="3" s="1"/>
  <c r="J72" i="3"/>
  <c r="K72" i="3" s="1"/>
  <c r="L72" i="3" s="1"/>
  <c r="J73" i="3"/>
  <c r="K73" i="3" s="1"/>
  <c r="L73" i="3" s="1"/>
  <c r="J74" i="3"/>
  <c r="K74" i="3" s="1"/>
  <c r="L74" i="3" s="1"/>
  <c r="J75" i="3"/>
  <c r="K75" i="3" s="1"/>
  <c r="L75" i="3" s="1"/>
  <c r="J76" i="3"/>
  <c r="K76" i="3" s="1"/>
  <c r="L76" i="3" s="1"/>
  <c r="J77" i="3"/>
  <c r="K77" i="3" s="1"/>
  <c r="L77" i="3" s="1"/>
  <c r="J78" i="3"/>
  <c r="K78" i="3" s="1"/>
  <c r="L78" i="3" s="1"/>
  <c r="J79" i="3"/>
  <c r="K79" i="3" s="1"/>
  <c r="L79" i="3" s="1"/>
  <c r="J80" i="3"/>
  <c r="K80" i="3" s="1"/>
  <c r="L80" i="3" s="1"/>
  <c r="J81" i="3"/>
  <c r="K81" i="3" s="1"/>
  <c r="L81" i="3" s="1"/>
  <c r="J82" i="3"/>
  <c r="K82" i="3" s="1"/>
  <c r="L82" i="3" s="1"/>
  <c r="J83" i="3"/>
  <c r="K83" i="3" s="1"/>
  <c r="L83" i="3" s="1"/>
  <c r="J84" i="3"/>
  <c r="K84" i="3" s="1"/>
  <c r="L84" i="3" s="1"/>
  <c r="J85" i="3"/>
  <c r="K85" i="3" s="1"/>
  <c r="L85" i="3" s="1"/>
  <c r="J86" i="3"/>
  <c r="K86" i="3" s="1"/>
  <c r="L86" i="3" s="1"/>
  <c r="J87" i="3"/>
  <c r="K87" i="3" s="1"/>
  <c r="L87" i="3" s="1"/>
  <c r="J88" i="3"/>
  <c r="K88" i="3" s="1"/>
  <c r="L88" i="3" s="1"/>
  <c r="J89" i="3"/>
  <c r="K89" i="3" s="1"/>
  <c r="L89" i="3" s="1"/>
  <c r="J90" i="3"/>
  <c r="K90" i="3" s="1"/>
  <c r="L90" i="3" s="1"/>
  <c r="J91" i="3"/>
  <c r="K91" i="3" s="1"/>
  <c r="L91" i="3" s="1"/>
  <c r="J92" i="3"/>
  <c r="K92" i="3" s="1"/>
  <c r="L92" i="3" s="1"/>
  <c r="J93" i="3"/>
  <c r="K93" i="3" s="1"/>
  <c r="L93" i="3" s="1"/>
  <c r="J94" i="3"/>
  <c r="K94" i="3" s="1"/>
  <c r="L94" i="3" s="1"/>
  <c r="J95" i="3"/>
  <c r="K95" i="3" s="1"/>
  <c r="L95" i="3" s="1"/>
  <c r="J96" i="3"/>
  <c r="K96" i="3" s="1"/>
  <c r="L96" i="3" s="1"/>
  <c r="J97" i="3"/>
  <c r="K97" i="3" s="1"/>
  <c r="L97" i="3" s="1"/>
  <c r="J98" i="3"/>
  <c r="K98" i="3" s="1"/>
  <c r="L98" i="3" s="1"/>
  <c r="J99" i="3"/>
  <c r="K99" i="3" s="1"/>
  <c r="L99" i="3" s="1"/>
  <c r="J100" i="3"/>
  <c r="K100" i="3" s="1"/>
  <c r="L100" i="3" s="1"/>
  <c r="J101" i="3"/>
  <c r="J102" i="3"/>
  <c r="K102" i="3" s="1"/>
  <c r="L102" i="3" s="1"/>
  <c r="J103" i="3"/>
  <c r="K103" i="3" s="1"/>
  <c r="L103" i="3" s="1"/>
  <c r="J104" i="3"/>
  <c r="K104" i="3" s="1"/>
  <c r="L104" i="3" s="1"/>
  <c r="J105" i="3"/>
  <c r="K105" i="3" s="1"/>
  <c r="L105" i="3" s="1"/>
  <c r="J106" i="3"/>
  <c r="K106" i="3" s="1"/>
  <c r="L106" i="3" s="1"/>
  <c r="J107" i="3"/>
  <c r="K107" i="3" s="1"/>
  <c r="L107" i="3" s="1"/>
  <c r="J108" i="3"/>
  <c r="K108" i="3" s="1"/>
  <c r="L108" i="3" s="1"/>
  <c r="J109" i="3"/>
  <c r="K109" i="3" s="1"/>
  <c r="L109" i="3" s="1"/>
  <c r="J110" i="3"/>
  <c r="K110" i="3" s="1"/>
  <c r="L110" i="3" s="1"/>
  <c r="J111" i="3"/>
  <c r="K111" i="3" s="1"/>
  <c r="L111" i="3" s="1"/>
  <c r="J112" i="3"/>
  <c r="K112" i="3" s="1"/>
  <c r="L112" i="3" s="1"/>
  <c r="J113" i="3"/>
  <c r="K113" i="3" s="1"/>
  <c r="L113" i="3" s="1"/>
  <c r="J114" i="3"/>
  <c r="K114" i="3" s="1"/>
  <c r="L114" i="3" s="1"/>
  <c r="J115" i="3"/>
  <c r="K115" i="3" s="1"/>
  <c r="L115" i="3" s="1"/>
  <c r="J116" i="3"/>
  <c r="K116" i="3" s="1"/>
  <c r="L116" i="3" s="1"/>
  <c r="J117" i="3"/>
  <c r="K117" i="3" s="1"/>
  <c r="L117" i="3" s="1"/>
  <c r="J118" i="3"/>
  <c r="K118" i="3" s="1"/>
  <c r="L118" i="3" s="1"/>
  <c r="J119" i="3"/>
  <c r="K119" i="3" s="1"/>
  <c r="L119" i="3" s="1"/>
  <c r="J120" i="3"/>
  <c r="K120" i="3" s="1"/>
  <c r="L120" i="3" s="1"/>
  <c r="J121" i="3"/>
  <c r="K121" i="3" s="1"/>
  <c r="L121" i="3" s="1"/>
  <c r="J122" i="3"/>
  <c r="K122" i="3" s="1"/>
  <c r="L122" i="3" s="1"/>
  <c r="J123" i="3"/>
  <c r="K123" i="3" s="1"/>
  <c r="L123" i="3" s="1"/>
  <c r="J124" i="3"/>
  <c r="K124" i="3" s="1"/>
  <c r="L124" i="3" s="1"/>
  <c r="J125" i="3"/>
  <c r="K125" i="3" s="1"/>
  <c r="L125" i="3" s="1"/>
  <c r="J126" i="3"/>
  <c r="K126" i="3" s="1"/>
  <c r="L126" i="3" s="1"/>
  <c r="J127" i="3"/>
  <c r="K127" i="3" s="1"/>
  <c r="L127" i="3" s="1"/>
  <c r="J128" i="3"/>
  <c r="K128" i="3" s="1"/>
  <c r="L128" i="3" s="1"/>
  <c r="J129" i="3"/>
  <c r="K129" i="3" s="1"/>
  <c r="L129" i="3" s="1"/>
  <c r="J130" i="3"/>
  <c r="K130" i="3" s="1"/>
  <c r="L130" i="3" s="1"/>
  <c r="J131" i="3"/>
  <c r="K131" i="3" s="1"/>
  <c r="L131" i="3" s="1"/>
  <c r="J132" i="3"/>
  <c r="K132" i="3" s="1"/>
  <c r="L132" i="3" s="1"/>
  <c r="J133" i="3"/>
  <c r="K133" i="3" s="1"/>
  <c r="L133" i="3" s="1"/>
  <c r="J134" i="3"/>
  <c r="K134" i="3" s="1"/>
  <c r="L134" i="3" s="1"/>
  <c r="J135" i="3"/>
  <c r="K135" i="3" s="1"/>
  <c r="L135" i="3" s="1"/>
  <c r="J136" i="3"/>
  <c r="K136" i="3" s="1"/>
  <c r="L136" i="3" s="1"/>
  <c r="J137" i="3"/>
  <c r="K137" i="3" s="1"/>
  <c r="L137" i="3" s="1"/>
  <c r="J138" i="3"/>
  <c r="K138" i="3" s="1"/>
  <c r="L138" i="3" s="1"/>
  <c r="J139" i="3"/>
  <c r="K139" i="3" s="1"/>
  <c r="L139" i="3" s="1"/>
  <c r="J140" i="3"/>
  <c r="K140" i="3" s="1"/>
  <c r="L140" i="3" s="1"/>
  <c r="J141" i="3"/>
  <c r="K141" i="3" s="1"/>
  <c r="L141" i="3" s="1"/>
  <c r="J142" i="3"/>
  <c r="K142" i="3" s="1"/>
  <c r="L142" i="3" s="1"/>
  <c r="J143" i="3"/>
  <c r="K143" i="3" s="1"/>
  <c r="L143" i="3" s="1"/>
  <c r="J144" i="3"/>
  <c r="K144" i="3" s="1"/>
  <c r="L144" i="3" s="1"/>
  <c r="J145" i="3"/>
  <c r="K145" i="3" s="1"/>
  <c r="L145" i="3" s="1"/>
  <c r="J146" i="3"/>
  <c r="K146" i="3" s="1"/>
  <c r="L146" i="3" s="1"/>
  <c r="J147" i="3"/>
  <c r="K147" i="3" s="1"/>
  <c r="L147" i="3" s="1"/>
  <c r="J148" i="3"/>
  <c r="K148" i="3" s="1"/>
  <c r="L148" i="3" s="1"/>
  <c r="J149" i="3"/>
  <c r="K149" i="3" s="1"/>
  <c r="L149" i="3" s="1"/>
  <c r="J150" i="3"/>
  <c r="K150" i="3" s="1"/>
  <c r="L150" i="3" s="1"/>
  <c r="J151" i="3"/>
  <c r="K151" i="3" s="1"/>
  <c r="L151" i="3" s="1"/>
  <c r="J152" i="3"/>
  <c r="K152" i="3" s="1"/>
  <c r="L152" i="3" s="1"/>
  <c r="J153" i="3"/>
  <c r="K153" i="3" s="1"/>
  <c r="L153" i="3" s="1"/>
  <c r="J154" i="3"/>
  <c r="K154" i="3" s="1"/>
  <c r="L154" i="3" s="1"/>
  <c r="J155" i="3"/>
  <c r="K155" i="3" s="1"/>
  <c r="L155" i="3" s="1"/>
  <c r="J156" i="3"/>
  <c r="K156" i="3" s="1"/>
  <c r="L156" i="3" s="1"/>
  <c r="J157" i="3"/>
  <c r="K157" i="3" s="1"/>
  <c r="L157" i="3" s="1"/>
  <c r="J158" i="3"/>
  <c r="K158" i="3" s="1"/>
  <c r="L158" i="3" s="1"/>
  <c r="J159" i="3"/>
  <c r="K159" i="3" s="1"/>
  <c r="L159" i="3" s="1"/>
  <c r="J160" i="3"/>
  <c r="K160" i="3" s="1"/>
  <c r="L160" i="3" s="1"/>
  <c r="J161" i="3"/>
  <c r="K161" i="3" s="1"/>
  <c r="L161" i="3" s="1"/>
  <c r="J162" i="3"/>
  <c r="K162" i="3" s="1"/>
  <c r="L162" i="3" s="1"/>
  <c r="J163" i="3"/>
  <c r="K163" i="3" s="1"/>
  <c r="L163" i="3" s="1"/>
  <c r="J164" i="3"/>
  <c r="K164" i="3" s="1"/>
  <c r="L164" i="3" s="1"/>
  <c r="J165" i="3"/>
  <c r="K165" i="3" s="1"/>
  <c r="L165" i="3" s="1"/>
  <c r="J166" i="3"/>
  <c r="K166" i="3" s="1"/>
  <c r="L166" i="3" s="1"/>
  <c r="J167" i="3"/>
  <c r="K167" i="3" s="1"/>
  <c r="L167" i="3" s="1"/>
  <c r="J168" i="3"/>
  <c r="K168" i="3" s="1"/>
  <c r="L168" i="3" s="1"/>
  <c r="J169" i="3"/>
  <c r="K169" i="3" s="1"/>
  <c r="L169" i="3" s="1"/>
  <c r="J170" i="3"/>
  <c r="K170" i="3" s="1"/>
  <c r="L170" i="3" s="1"/>
  <c r="J171" i="3"/>
  <c r="K171" i="3" s="1"/>
  <c r="L171" i="3" s="1"/>
  <c r="J172" i="3"/>
  <c r="K172" i="3" s="1"/>
  <c r="L172" i="3" s="1"/>
  <c r="J173" i="3"/>
  <c r="K173" i="3" s="1"/>
  <c r="L173" i="3" s="1"/>
  <c r="J174" i="3"/>
  <c r="K174" i="3" s="1"/>
  <c r="L174" i="3" s="1"/>
  <c r="J175" i="3"/>
  <c r="K175" i="3" s="1"/>
  <c r="L175" i="3" s="1"/>
  <c r="J176" i="3"/>
  <c r="K176" i="3" s="1"/>
  <c r="L176" i="3" s="1"/>
  <c r="J177" i="3"/>
  <c r="K177" i="3" s="1"/>
  <c r="L177" i="3" s="1"/>
  <c r="J178" i="3"/>
  <c r="K178" i="3" s="1"/>
  <c r="L178" i="3" s="1"/>
  <c r="J179" i="3"/>
  <c r="K179" i="3" s="1"/>
  <c r="L179" i="3" s="1"/>
  <c r="J180" i="3"/>
  <c r="K180" i="3" s="1"/>
  <c r="L180" i="3" s="1"/>
  <c r="J181" i="3"/>
  <c r="K181" i="3" s="1"/>
  <c r="L181" i="3" s="1"/>
  <c r="J182" i="3"/>
  <c r="K182" i="3" s="1"/>
  <c r="L182" i="3" s="1"/>
  <c r="J183" i="3"/>
  <c r="K183" i="3" s="1"/>
  <c r="L183" i="3" s="1"/>
  <c r="J184" i="3"/>
  <c r="K184" i="3" s="1"/>
  <c r="L184" i="3" s="1"/>
  <c r="J185" i="3"/>
  <c r="K185" i="3" s="1"/>
  <c r="L185" i="3" s="1"/>
  <c r="J186" i="3"/>
  <c r="K186" i="3" s="1"/>
  <c r="L186" i="3" s="1"/>
  <c r="J187" i="3"/>
  <c r="K187" i="3" s="1"/>
  <c r="L187" i="3" s="1"/>
  <c r="J188" i="3"/>
  <c r="K188" i="3" s="1"/>
  <c r="L188" i="3" s="1"/>
  <c r="J189" i="3"/>
  <c r="K189" i="3" s="1"/>
  <c r="L189" i="3" s="1"/>
  <c r="J190" i="3"/>
  <c r="K190" i="3" s="1"/>
  <c r="L190" i="3" s="1"/>
  <c r="J191" i="3"/>
  <c r="K191" i="3" s="1"/>
  <c r="L191" i="3" s="1"/>
  <c r="J192" i="3"/>
  <c r="K192" i="3" s="1"/>
  <c r="L192" i="3" s="1"/>
  <c r="J193" i="3"/>
  <c r="K193" i="3" s="1"/>
  <c r="L193" i="3" s="1"/>
  <c r="J194" i="3"/>
  <c r="K194" i="3" s="1"/>
  <c r="L194" i="3" s="1"/>
  <c r="J2" i="3"/>
  <c r="K2" i="3" s="1"/>
  <c r="L2" i="3" s="1"/>
</calcChain>
</file>

<file path=xl/sharedStrings.xml><?xml version="1.0" encoding="utf-8"?>
<sst xmlns="http://schemas.openxmlformats.org/spreadsheetml/2006/main" count="1231" uniqueCount="288">
  <si>
    <t>Sample_name</t>
  </si>
  <si>
    <t>Concentration_ng/uL</t>
  </si>
  <si>
    <t>Concentration_nM</t>
  </si>
  <si>
    <t>DNA_for_Dilution_uL</t>
  </si>
  <si>
    <t>Water_for_Dilution_uL</t>
  </si>
  <si>
    <t>i5</t>
  </si>
  <si>
    <t>i7</t>
  </si>
  <si>
    <t>SA501</t>
  </si>
  <si>
    <t>SA502</t>
  </si>
  <si>
    <t>SA503</t>
  </si>
  <si>
    <t>SA504</t>
  </si>
  <si>
    <t>SA505</t>
  </si>
  <si>
    <t>SA506</t>
  </si>
  <si>
    <t>SA507</t>
  </si>
  <si>
    <t>SA508</t>
  </si>
  <si>
    <t>SA701</t>
  </si>
  <si>
    <t>SA702</t>
  </si>
  <si>
    <t>Predicted_amplicon_size</t>
  </si>
  <si>
    <t>DO NOT DILUTE</t>
  </si>
  <si>
    <t>Dilution_vol</t>
  </si>
  <si>
    <t>i5_seq</t>
  </si>
  <si>
    <t>i7_seq</t>
  </si>
  <si>
    <t>ATCGTACG</t>
  </si>
  <si>
    <t>ACTATCTG</t>
  </si>
  <si>
    <t>TAGCGAGT</t>
  </si>
  <si>
    <t>CTGCGTGT</t>
  </si>
  <si>
    <t>TCATCGAG</t>
  </si>
  <si>
    <t>CGTGAGTG</t>
  </si>
  <si>
    <t>GGATATCT</t>
  </si>
  <si>
    <t>GACACCGT</t>
  </si>
  <si>
    <t>AACTCTCG</t>
  </si>
  <si>
    <t>ACTATGTC</t>
  </si>
  <si>
    <t>i7_rev_comp</t>
  </si>
  <si>
    <t>CGAGAGTT</t>
  </si>
  <si>
    <t>GACATAGT</t>
  </si>
  <si>
    <t>SA703</t>
  </si>
  <si>
    <t>AGTAGCGT</t>
  </si>
  <si>
    <t>ACGCTACT</t>
  </si>
  <si>
    <t>DM00001V1PQ1</t>
  </si>
  <si>
    <t>DM00002V1PQ</t>
  </si>
  <si>
    <t>DM00004V1PQ55</t>
  </si>
  <si>
    <t>DM00004V1PQ65</t>
  </si>
  <si>
    <t>DM00005V1PQ36_1</t>
  </si>
  <si>
    <t>DM00005V1PQ46_2</t>
  </si>
  <si>
    <t>DM00006V1PQ1</t>
  </si>
  <si>
    <t>DM00007V1PQ1</t>
  </si>
  <si>
    <t>DM00008V1PQ16_2</t>
  </si>
  <si>
    <t>DM00008V1PQ26_1</t>
  </si>
  <si>
    <t>DM00009V1PQ55</t>
  </si>
  <si>
    <t>DM00009V1PQ65</t>
  </si>
  <si>
    <t>DM00010V1PQ54</t>
  </si>
  <si>
    <t>DM00010V1PQ64&amp;65</t>
  </si>
  <si>
    <t>DM00011V1PQ55_1</t>
  </si>
  <si>
    <t>DM00012V1PQ1</t>
  </si>
  <si>
    <t>DM00013V1PQ73_1</t>
  </si>
  <si>
    <t>DM00013V1PQ65_3</t>
  </si>
  <si>
    <t>DM000013V1PQ83_2</t>
  </si>
  <si>
    <t>DM00014V1PQ3</t>
  </si>
  <si>
    <t>DM00014V1PQ64_2</t>
  </si>
  <si>
    <t>DM00014V1PQ84_1</t>
  </si>
  <si>
    <t>DM00015V1PQ</t>
  </si>
  <si>
    <t>PCR BLANK 1</t>
  </si>
  <si>
    <t>DM00016V1PQ16</t>
  </si>
  <si>
    <t>DM00016V1PQ26</t>
  </si>
  <si>
    <t>DM00017V1PQ16</t>
  </si>
  <si>
    <t>DM00017V1PQ31</t>
  </si>
  <si>
    <t>DM00018V1PQ46_1</t>
  </si>
  <si>
    <t>DM00018V1PQ74_1</t>
  </si>
  <si>
    <t>DM00018V1PQ75_1</t>
  </si>
  <si>
    <t>DM00019V1PQ16</t>
  </si>
  <si>
    <t>DM00019V1PQ36_1</t>
  </si>
  <si>
    <t>DM00020V1PQ16_1</t>
  </si>
  <si>
    <t>DM00020V1PQ26_1</t>
  </si>
  <si>
    <t>DM00021V1PQ75_1</t>
  </si>
  <si>
    <t>DM00021V1PQ11&amp;12_1</t>
  </si>
  <si>
    <t>DM00021V1PQ31&amp;41_1</t>
  </si>
  <si>
    <t>DM00021V1PQ55_1</t>
  </si>
  <si>
    <t>DM00021V1PQ65_1</t>
  </si>
  <si>
    <t>DM00021V1PQ74_1</t>
  </si>
  <si>
    <t>DM00021V1PQ84_1</t>
  </si>
  <si>
    <t>DM00021V1PQ85_1</t>
  </si>
  <si>
    <t>DM00022V1PQ16_1</t>
  </si>
  <si>
    <t>DM00022V1PQ26_1</t>
  </si>
  <si>
    <t>DM00023V1PQ16_1</t>
  </si>
  <si>
    <t>DM00023V1PQ26_1</t>
  </si>
  <si>
    <t>PCR BLANK 2</t>
  </si>
  <si>
    <t>DM00024V1PQ16_1</t>
  </si>
  <si>
    <t>DM00024V1PQ41_1</t>
  </si>
  <si>
    <t>DM00024V1PQ46_1</t>
  </si>
  <si>
    <t>DM00024V1PQ54_1</t>
  </si>
  <si>
    <t>DM00024V1PQ55_1</t>
  </si>
  <si>
    <t>DM00024V1PQ64_1</t>
  </si>
  <si>
    <t>DM00024V1PQ65_1</t>
  </si>
  <si>
    <t>DM00024V1PQ75_1</t>
  </si>
  <si>
    <t>DM00025V1PQ31&amp;41_1</t>
  </si>
  <si>
    <t>DM00026V1PQ65_1</t>
  </si>
  <si>
    <t>DM00026V1PQ85_1</t>
  </si>
  <si>
    <t>DM00027V1PQ55_1</t>
  </si>
  <si>
    <t>DM00027V1PQ65_1</t>
  </si>
  <si>
    <t>DM00028V1PQ16_1</t>
  </si>
  <si>
    <t>DM00028V1PQ26_1</t>
  </si>
  <si>
    <t>DM00029V1PQ26_1</t>
  </si>
  <si>
    <t>DM00029V1PQ31_1</t>
  </si>
  <si>
    <t>DM00030V1PQ31_1</t>
  </si>
  <si>
    <t>DM00030V1PQ55_1</t>
  </si>
  <si>
    <t>DM00031V1PQ26_1</t>
  </si>
  <si>
    <t>DM00031V1PQ46_2</t>
  </si>
  <si>
    <t>DM00032V1PQ26_1</t>
  </si>
  <si>
    <t>DM00032V1PQ46_1</t>
  </si>
  <si>
    <t>PCR BLANK 3</t>
  </si>
  <si>
    <t>DM00032V1PQ55_1</t>
  </si>
  <si>
    <t>DM00032V1PQ84_1</t>
  </si>
  <si>
    <t>DM00032V1PQ85_1</t>
  </si>
  <si>
    <t>DM00033V1PQ26</t>
  </si>
  <si>
    <t>DM00033V1PQ65</t>
  </si>
  <si>
    <t>DM00034V1PQ55</t>
  </si>
  <si>
    <t>DM00034V1PQ65</t>
  </si>
  <si>
    <t>DM00035V1PQ26</t>
  </si>
  <si>
    <t>DM00035V1PQ16</t>
  </si>
  <si>
    <t>DM00036V1PQ51</t>
  </si>
  <si>
    <t>DM00036V1PQ81</t>
  </si>
  <si>
    <t>DM00036V1PQ84</t>
  </si>
  <si>
    <t>DM00044V1PQ55</t>
  </si>
  <si>
    <t>DM00048V1PQ54</t>
  </si>
  <si>
    <t>DM00050V1PQ11</t>
  </si>
  <si>
    <t>DM00052V1PQ55</t>
  </si>
  <si>
    <t>DM00056V1PQ36</t>
  </si>
  <si>
    <t>DM00060V1PQ26</t>
  </si>
  <si>
    <t>DM00063V1PQ75</t>
  </si>
  <si>
    <t>DM00040V1PQ81_1</t>
  </si>
  <si>
    <t>DM00040V1PQ51_1</t>
  </si>
  <si>
    <t>DM00044V1PQ26</t>
  </si>
  <si>
    <t>DM00048V1PQ51</t>
  </si>
  <si>
    <t>PCR BLANK 4</t>
  </si>
  <si>
    <t>DM00049V1PQ65</t>
  </si>
  <si>
    <t>DM00051V1PQ41</t>
  </si>
  <si>
    <t>DM00055V1PQ85</t>
  </si>
  <si>
    <t>DM00059V1PQ74</t>
  </si>
  <si>
    <t>DM00063V1PQ74</t>
  </si>
  <si>
    <t>DM00036V1PQ74</t>
  </si>
  <si>
    <t>DM00039V1PQ41_1</t>
  </si>
  <si>
    <t>DM00044V1PQ16</t>
  </si>
  <si>
    <t>DM00047V1PQ65</t>
  </si>
  <si>
    <t>DM00049V1PQ55</t>
  </si>
  <si>
    <t>DM00051V1PQ11</t>
  </si>
  <si>
    <t>DM00055V1PQ75</t>
  </si>
  <si>
    <t>DM00059V1PQ65</t>
  </si>
  <si>
    <t>DM00063V1PQ55</t>
  </si>
  <si>
    <t>DM00036V1PQ65</t>
  </si>
  <si>
    <t>DM00039V1PQ11_1</t>
  </si>
  <si>
    <t>DM00043V1PQ85_1</t>
  </si>
  <si>
    <t>DM00047V1PQ55</t>
  </si>
  <si>
    <t>DM00049V1PQ41</t>
  </si>
  <si>
    <t>DM00050V1PQ85</t>
  </si>
  <si>
    <t>DM00055V1PQ55</t>
  </si>
  <si>
    <t>DM00059V1PQ55</t>
  </si>
  <si>
    <t>DM00062V1PQ84</t>
  </si>
  <si>
    <t>PCR BLANK 5</t>
  </si>
  <si>
    <t>DM00036V1PQ64</t>
  </si>
  <si>
    <t>DM00038V1PQ85_1</t>
  </si>
  <si>
    <t>DM00043V1PQ63_1</t>
  </si>
  <si>
    <t>DM00046V1PQ45</t>
  </si>
  <si>
    <t>DM00049V1PQ11</t>
  </si>
  <si>
    <t>DM00050V1PQ75</t>
  </si>
  <si>
    <t>DM00055V1PQ65</t>
  </si>
  <si>
    <t>DM00058V1PQ74</t>
  </si>
  <si>
    <t>DM00062V1PQ75</t>
  </si>
  <si>
    <t>DM00036V1PQ62</t>
  </si>
  <si>
    <t>DM00038V1PQ36_1</t>
  </si>
  <si>
    <t>DM00042V1PQ75&amp;85_1</t>
  </si>
  <si>
    <t>DM00046V1PQ26</t>
  </si>
  <si>
    <t>DM00048V1PQ84</t>
  </si>
  <si>
    <t>DM00050V1PQ65</t>
  </si>
  <si>
    <t>DM00054V1PQ63</t>
  </si>
  <si>
    <t>DM00058V1PQ36</t>
  </si>
  <si>
    <t>DM00062V1PQ55</t>
  </si>
  <si>
    <t>DM00036V1PQ61</t>
  </si>
  <si>
    <t>DM00037V1PQ42_1</t>
  </si>
  <si>
    <t>DM00042V1PQ55&amp;65_1</t>
  </si>
  <si>
    <t>DM00045V1PQ75</t>
  </si>
  <si>
    <t>DM00048V1PQ74</t>
  </si>
  <si>
    <t>PCR BLANK 6</t>
  </si>
  <si>
    <t>DM00050V1PQ55</t>
  </si>
  <si>
    <t>DM00054V1PQ31</t>
  </si>
  <si>
    <t>DM00057V1PQ75</t>
  </si>
  <si>
    <t>DM00061V1PQ65</t>
  </si>
  <si>
    <t>DM00036V1PQ55</t>
  </si>
  <si>
    <t>DM00037V1PQ11_1</t>
  </si>
  <si>
    <t>DM00041V1PQ26_1</t>
  </si>
  <si>
    <t>DM00045V1PQ65</t>
  </si>
  <si>
    <t>DM00048V1PQ62</t>
  </si>
  <si>
    <t>DM00050V1PQ54</t>
  </si>
  <si>
    <t>DM00053V1PQ75</t>
  </si>
  <si>
    <t>DM00057V1PQ16</t>
  </si>
  <si>
    <t>DM00061V1PQ16</t>
  </si>
  <si>
    <t>DM00036V1PQ52</t>
  </si>
  <si>
    <t>DM00036V1PQ85</t>
  </si>
  <si>
    <t>DM00041V1PQ36_1</t>
  </si>
  <si>
    <t>DM00045V1PQ55</t>
  </si>
  <si>
    <t>DM00048V1PQ61</t>
  </si>
  <si>
    <t>DM00050V1PQ36</t>
  </si>
  <si>
    <t>DM00053V1PQ55</t>
  </si>
  <si>
    <t>DM00056V1PQ85</t>
  </si>
  <si>
    <t>DM00060V1PQ75</t>
  </si>
  <si>
    <t>DM00063V1PQ84</t>
  </si>
  <si>
    <t>PCR BLANK 7</t>
  </si>
  <si>
    <t>DM00064V1PQ16</t>
  </si>
  <si>
    <t>DM00064V1PQ26</t>
  </si>
  <si>
    <t>DM00065V1PQ16</t>
  </si>
  <si>
    <t>DM00065V1PQ26</t>
  </si>
  <si>
    <t>DM00065V1PQ36</t>
  </si>
  <si>
    <t>DM00066V1PQ16</t>
  </si>
  <si>
    <t>DM00066V1PQ26</t>
  </si>
  <si>
    <t>DM00067V1PQ11</t>
  </si>
  <si>
    <t>DM00067V1PQ41</t>
  </si>
  <si>
    <t>DM00067V1PQ75</t>
  </si>
  <si>
    <t>DM00067V1PQ83</t>
  </si>
  <si>
    <t>DM00067V1PQ84</t>
  </si>
  <si>
    <t>DM00068V1PQ53</t>
  </si>
  <si>
    <t>DM00068V1PQ75</t>
  </si>
  <si>
    <t>DM00069V1PQ53</t>
  </si>
  <si>
    <t>DM00069V1PQ83</t>
  </si>
  <si>
    <t>DM00070V1PQ16</t>
  </si>
  <si>
    <t>DM00070V1PQ42</t>
  </si>
  <si>
    <t>DM00071V1PQ16</t>
  </si>
  <si>
    <t>DM00071V1PQ26</t>
  </si>
  <si>
    <t>DM00072V1PQ11</t>
  </si>
  <si>
    <t>DM00072V1PQ31</t>
  </si>
  <si>
    <t>DM00072V1PQ46</t>
  </si>
  <si>
    <t>PCR BLANK 8</t>
  </si>
  <si>
    <t>SA704</t>
  </si>
  <si>
    <t>CAGTGAGT</t>
  </si>
  <si>
    <t>SA705</t>
  </si>
  <si>
    <t>CGTACTCA</t>
  </si>
  <si>
    <t>SA706</t>
  </si>
  <si>
    <t>CTACGCAG</t>
  </si>
  <si>
    <t>SA707</t>
  </si>
  <si>
    <t>GGAGACTA</t>
  </si>
  <si>
    <t>SA708</t>
  </si>
  <si>
    <t>GTCGCTCG</t>
  </si>
  <si>
    <t>SA709</t>
  </si>
  <si>
    <t>GTCGTAGT</t>
  </si>
  <si>
    <t>SA710</t>
  </si>
  <si>
    <t>TAGCAGAC</t>
  </si>
  <si>
    <t>SA711</t>
  </si>
  <si>
    <t>TCATAGAC</t>
  </si>
  <si>
    <t>SA712</t>
  </si>
  <si>
    <t>TCGCTATA</t>
  </si>
  <si>
    <t>SB501</t>
  </si>
  <si>
    <t>CTACTATA</t>
  </si>
  <si>
    <t>SB502</t>
  </si>
  <si>
    <t>CGTTACTA</t>
  </si>
  <si>
    <t>SB503</t>
  </si>
  <si>
    <t>AGAGTCAC</t>
  </si>
  <si>
    <t>SB504</t>
  </si>
  <si>
    <t>TACGAGAC</t>
  </si>
  <si>
    <t>SB505</t>
  </si>
  <si>
    <t>ACGTCTCG</t>
  </si>
  <si>
    <t>SB506</t>
  </si>
  <si>
    <t>TCGACGAG</t>
  </si>
  <si>
    <t>SB507</t>
  </si>
  <si>
    <t>GATCGTGT</t>
  </si>
  <si>
    <t>SB508</t>
  </si>
  <si>
    <t>GTCAGATA</t>
  </si>
  <si>
    <t>ACTCACTG</t>
  </si>
  <si>
    <t>TGAGTACG</t>
  </si>
  <si>
    <t>CTGCGTAG</t>
  </si>
  <si>
    <t>TAGTCTCC</t>
  </si>
  <si>
    <t>CGAGCGAC</t>
  </si>
  <si>
    <t>GTCTGCTA</t>
  </si>
  <si>
    <t>GTCTATGA</t>
  </si>
  <si>
    <t>TATAGCGA</t>
  </si>
  <si>
    <t>Pool</t>
  </si>
  <si>
    <t>Plate</t>
  </si>
  <si>
    <t>X</t>
  </si>
  <si>
    <t>A</t>
  </si>
  <si>
    <t>B</t>
  </si>
  <si>
    <t>C</t>
  </si>
  <si>
    <t>D</t>
  </si>
  <si>
    <t>E</t>
  </si>
  <si>
    <t>F</t>
  </si>
  <si>
    <t>G</t>
  </si>
  <si>
    <t>H</t>
  </si>
  <si>
    <t>PLATE 1 DNA</t>
  </si>
  <si>
    <t>PLATE 1 H2O</t>
  </si>
  <si>
    <t>PLATE 2 H2O</t>
  </si>
  <si>
    <t>PLATE 2 DNA</t>
  </si>
  <si>
    <t>BioA 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</si>
</sst>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color theme="1"/>
      <name val="Courier"/>
      <family val="1"/>
    </font>
    <font>
      <sz val="9"/>
      <color rgb="FFFF0000"/>
      <name val="Courier"/>
      <family val="1"/>
    </font>
    <font>
      <sz val="9"/>
      <color rgb="FF000000"/>
      <name val="Courier"/>
      <family val="1"/>
    </font>
    <font>
      <sz val="9"/>
      <color rgb="FF548235"/>
      <name val="Courier"/>
      <family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164" fontId="3" fillId="0" borderId="0" xfId="0" applyNumberFormat="1" applyFont="1"/>
    <xf numFmtId="164" fontId="4" fillId="0" borderId="0" xfId="0" applyNumberFormat="1" applyFont="1"/>
    <xf numFmtId="0" fontId="6" fillId="0" borderId="0" xfId="0" applyFont="1"/>
    <xf numFmtId="0" fontId="3" fillId="2" borderId="0" xfId="0" applyFont="1" applyFill="1"/>
    <xf numFmtId="164" fontId="0" fillId="0" borderId="0" xfId="0" applyNumberFormat="1" applyAlignment="1">
      <alignment horizontal="right"/>
    </xf>
    <xf numFmtId="164" fontId="0" fillId="0" borderId="0" xfId="0" applyNumberFormat="1" applyAlignment="1"/>
    <xf numFmtId="164" fontId="1" fillId="0" borderId="0" xfId="0" applyNumberFormat="1" applyFont="1" applyAlignment="1"/>
    <xf numFmtId="164" fontId="2" fillId="0" borderId="0" xfId="0" applyNumberFormat="1" applyFont="1" applyAlignment="1">
      <alignment horizontal="right"/>
    </xf>
    <xf numFmtId="1" fontId="1" fillId="3" borderId="0" xfId="0" applyNumberFormat="1" applyFont="1" applyFill="1" applyAlignment="1">
      <alignment horizontal="right"/>
    </xf>
    <xf numFmtId="164" fontId="1" fillId="3" borderId="0" xfId="0" applyNumberFormat="1" applyFont="1" applyFill="1" applyAlignment="1"/>
    <xf numFmtId="164" fontId="1" fillId="0" borderId="0" xfId="0" applyNumberFormat="1" applyFont="1" applyFill="1" applyAlignment="1"/>
    <xf numFmtId="164" fontId="0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2AE67-B701-0B42-B6C2-29ECB105D3CA}">
  <dimension ref="A1:M196"/>
  <sheetViews>
    <sheetView tabSelected="1" topLeftCell="A184" zoomScale="139" workbookViewId="0">
      <selection activeCell="J198" sqref="J198"/>
    </sheetView>
  </sheetViews>
  <sheetFormatPr baseColWidth="10" defaultRowHeight="12" x14ac:dyDescent="0.15"/>
  <cols>
    <col min="1" max="1" width="3.83203125" style="1" bestFit="1" customWidth="1"/>
    <col min="2" max="2" width="23.1640625" style="1" bestFit="1" customWidth="1"/>
    <col min="3" max="4" width="5.6640625" style="1" bestFit="1" customWidth="1"/>
    <col min="5" max="5" width="8.5" style="1" bestFit="1" customWidth="1"/>
    <col min="6" max="6" width="5.6640625" style="1" bestFit="1" customWidth="1"/>
    <col min="7" max="7" width="8.5" style="1" bestFit="1" customWidth="1"/>
    <col min="8" max="8" width="11.5" style="1" bestFit="1" customWidth="1"/>
    <col min="9" max="9" width="19.1640625" style="1" bestFit="1" customWidth="1"/>
    <col min="10" max="10" width="16.1640625" style="1" bestFit="1" customWidth="1"/>
    <col min="11" max="11" width="19.1640625" style="1" bestFit="1" customWidth="1"/>
    <col min="12" max="12" width="21.1640625" style="1" bestFit="1" customWidth="1"/>
    <col min="13" max="13" width="12.33203125" style="1" bestFit="1" customWidth="1"/>
    <col min="14" max="16384" width="10.83203125" style="1"/>
  </cols>
  <sheetData>
    <row r="1" spans="1:13" x14ac:dyDescent="0.15">
      <c r="B1" s="2" t="s">
        <v>0</v>
      </c>
      <c r="C1" s="2" t="s">
        <v>273</v>
      </c>
      <c r="D1" s="2" t="s">
        <v>5</v>
      </c>
      <c r="E1" s="2" t="s">
        <v>20</v>
      </c>
      <c r="F1" s="2" t="s">
        <v>6</v>
      </c>
      <c r="G1" s="2" t="s">
        <v>21</v>
      </c>
      <c r="H1" s="2" t="s">
        <v>32</v>
      </c>
      <c r="I1" s="2" t="s">
        <v>1</v>
      </c>
      <c r="J1" s="2" t="s">
        <v>2</v>
      </c>
      <c r="K1" s="3" t="s">
        <v>3</v>
      </c>
      <c r="L1" s="3" t="s">
        <v>4</v>
      </c>
      <c r="M1" s="1" t="s">
        <v>19</v>
      </c>
    </row>
    <row r="2" spans="1:13" x14ac:dyDescent="0.15">
      <c r="A2" s="1">
        <v>1</v>
      </c>
      <c r="B2" s="1" t="s">
        <v>38</v>
      </c>
      <c r="C2" s="1">
        <v>1</v>
      </c>
      <c r="D2" s="4" t="s">
        <v>7</v>
      </c>
      <c r="E2" s="4" t="s">
        <v>22</v>
      </c>
      <c r="F2" s="4" t="s">
        <v>15</v>
      </c>
      <c r="G2" s="4" t="s">
        <v>30</v>
      </c>
      <c r="H2" s="1" t="s">
        <v>33</v>
      </c>
      <c r="I2" s="1">
        <v>2.87</v>
      </c>
      <c r="J2" s="5">
        <f>((I2)/(660*679))*10^6</f>
        <v>6.4042486722899099</v>
      </c>
      <c r="K2" s="6">
        <f>(4*M2)/J2</f>
        <v>6.2458536585365847</v>
      </c>
      <c r="L2" s="6">
        <f>M2-K2</f>
        <v>3.7541463414634153</v>
      </c>
      <c r="M2" s="5">
        <v>10</v>
      </c>
    </row>
    <row r="3" spans="1:13" x14ac:dyDescent="0.15">
      <c r="A3" s="1">
        <v>2</v>
      </c>
      <c r="B3" s="1" t="s">
        <v>39</v>
      </c>
      <c r="C3" s="1">
        <v>1</v>
      </c>
      <c r="D3" s="4" t="s">
        <v>8</v>
      </c>
      <c r="E3" s="4" t="s">
        <v>23</v>
      </c>
      <c r="F3" s="4" t="s">
        <v>15</v>
      </c>
      <c r="G3" s="4" t="s">
        <v>30</v>
      </c>
      <c r="H3" s="1" t="s">
        <v>33</v>
      </c>
      <c r="I3" s="1">
        <v>1.74</v>
      </c>
      <c r="J3" s="5">
        <f t="shared" ref="J3:J66" si="0">((I3)/(660*679))*10^6</f>
        <v>3.882715222921409</v>
      </c>
      <c r="K3" s="6" t="s">
        <v>18</v>
      </c>
      <c r="L3" s="6" t="s">
        <v>18</v>
      </c>
      <c r="M3" s="5">
        <v>10</v>
      </c>
    </row>
    <row r="4" spans="1:13" x14ac:dyDescent="0.15">
      <c r="A4" s="1">
        <v>3</v>
      </c>
      <c r="B4" s="1" t="s">
        <v>40</v>
      </c>
      <c r="C4" s="1">
        <v>1</v>
      </c>
      <c r="D4" s="4" t="s">
        <v>9</v>
      </c>
      <c r="E4" s="4" t="s">
        <v>24</v>
      </c>
      <c r="F4" s="4" t="s">
        <v>15</v>
      </c>
      <c r="G4" s="4" t="s">
        <v>30</v>
      </c>
      <c r="H4" s="1" t="s">
        <v>33</v>
      </c>
      <c r="I4" s="1">
        <v>1.72</v>
      </c>
      <c r="J4" s="5">
        <f t="shared" si="0"/>
        <v>3.8380863123131168</v>
      </c>
      <c r="K4" s="6" t="s">
        <v>18</v>
      </c>
      <c r="L4" s="6" t="s">
        <v>18</v>
      </c>
      <c r="M4" s="5">
        <v>10</v>
      </c>
    </row>
    <row r="5" spans="1:13" x14ac:dyDescent="0.15">
      <c r="A5" s="1">
        <v>4</v>
      </c>
      <c r="B5" s="1" t="s">
        <v>41</v>
      </c>
      <c r="C5" s="1">
        <v>1</v>
      </c>
      <c r="D5" s="4" t="s">
        <v>10</v>
      </c>
      <c r="E5" s="4" t="s">
        <v>25</v>
      </c>
      <c r="F5" s="4" t="s">
        <v>15</v>
      </c>
      <c r="G5" s="4" t="s">
        <v>30</v>
      </c>
      <c r="H5" s="1" t="s">
        <v>33</v>
      </c>
      <c r="I5" s="1">
        <v>0.86799999999999999</v>
      </c>
      <c r="J5" s="5">
        <f t="shared" si="0"/>
        <v>1.936894720399875</v>
      </c>
      <c r="K5" s="6" t="s">
        <v>18</v>
      </c>
      <c r="L5" s="6" t="s">
        <v>18</v>
      </c>
      <c r="M5" s="5">
        <v>10</v>
      </c>
    </row>
    <row r="6" spans="1:13" x14ac:dyDescent="0.15">
      <c r="A6" s="1">
        <v>5</v>
      </c>
      <c r="B6" s="1" t="s">
        <v>42</v>
      </c>
      <c r="C6" s="1">
        <v>1</v>
      </c>
      <c r="D6" s="4" t="s">
        <v>11</v>
      </c>
      <c r="E6" s="4" t="s">
        <v>26</v>
      </c>
      <c r="F6" s="4" t="s">
        <v>15</v>
      </c>
      <c r="G6" s="4" t="s">
        <v>30</v>
      </c>
      <c r="H6" s="1" t="s">
        <v>33</v>
      </c>
      <c r="I6" s="1">
        <v>2.12</v>
      </c>
      <c r="J6" s="5">
        <f t="shared" si="0"/>
        <v>4.730664524478958</v>
      </c>
      <c r="K6" s="6">
        <f t="shared" ref="K6:K66" si="1">(4*M6)/J6</f>
        <v>8.4554716981132074</v>
      </c>
      <c r="L6" s="6">
        <f t="shared" ref="L6:L66" si="2">M6-K6</f>
        <v>1.5445283018867926</v>
      </c>
      <c r="M6" s="5">
        <v>10</v>
      </c>
    </row>
    <row r="7" spans="1:13" x14ac:dyDescent="0.15">
      <c r="A7" s="1">
        <v>6</v>
      </c>
      <c r="B7" s="1" t="s">
        <v>43</v>
      </c>
      <c r="C7" s="1">
        <v>1</v>
      </c>
      <c r="D7" s="4" t="s">
        <v>12</v>
      </c>
      <c r="E7" s="4" t="s">
        <v>27</v>
      </c>
      <c r="F7" s="4" t="s">
        <v>15</v>
      </c>
      <c r="G7" s="4" t="s">
        <v>30</v>
      </c>
      <c r="H7" s="1" t="s">
        <v>33</v>
      </c>
      <c r="I7" s="1">
        <v>1.99</v>
      </c>
      <c r="J7" s="5">
        <f t="shared" si="0"/>
        <v>4.4405766055250586</v>
      </c>
      <c r="K7" s="6">
        <f t="shared" si="1"/>
        <v>9.0078391959799013</v>
      </c>
      <c r="L7" s="6">
        <f t="shared" si="2"/>
        <v>0.99216080402009865</v>
      </c>
      <c r="M7" s="5">
        <v>10</v>
      </c>
    </row>
    <row r="8" spans="1:13" x14ac:dyDescent="0.15">
      <c r="A8" s="1">
        <v>7</v>
      </c>
      <c r="B8" s="1" t="s">
        <v>44</v>
      </c>
      <c r="C8" s="1">
        <v>1</v>
      </c>
      <c r="D8" s="4" t="s">
        <v>13</v>
      </c>
      <c r="E8" s="4" t="s">
        <v>28</v>
      </c>
      <c r="F8" s="4" t="s">
        <v>15</v>
      </c>
      <c r="G8" s="4" t="s">
        <v>30</v>
      </c>
      <c r="H8" s="1" t="s">
        <v>33</v>
      </c>
      <c r="I8" s="1">
        <v>4.04</v>
      </c>
      <c r="J8" s="5">
        <f t="shared" si="0"/>
        <v>9.0150399428749939</v>
      </c>
      <c r="K8" s="6">
        <f t="shared" si="1"/>
        <v>4.437029702970297</v>
      </c>
      <c r="L8" s="6">
        <f t="shared" si="2"/>
        <v>5.562970297029703</v>
      </c>
      <c r="M8" s="5">
        <v>10</v>
      </c>
    </row>
    <row r="9" spans="1:13" x14ac:dyDescent="0.15">
      <c r="A9" s="1">
        <v>8</v>
      </c>
      <c r="B9" s="1" t="s">
        <v>45</v>
      </c>
      <c r="C9" s="1">
        <v>1</v>
      </c>
      <c r="D9" s="4" t="s">
        <v>14</v>
      </c>
      <c r="E9" s="4" t="s">
        <v>29</v>
      </c>
      <c r="F9" s="4" t="s">
        <v>15</v>
      </c>
      <c r="G9" s="4" t="s">
        <v>30</v>
      </c>
      <c r="H9" s="1" t="s">
        <v>33</v>
      </c>
      <c r="I9" s="1">
        <v>2.33</v>
      </c>
      <c r="J9" s="5">
        <f t="shared" si="0"/>
        <v>5.1992680858660236</v>
      </c>
      <c r="K9" s="6">
        <f t="shared" si="1"/>
        <v>7.6933905579399147</v>
      </c>
      <c r="L9" s="6">
        <f t="shared" si="2"/>
        <v>2.3066094420600853</v>
      </c>
      <c r="M9" s="5">
        <v>10</v>
      </c>
    </row>
    <row r="10" spans="1:13" x14ac:dyDescent="0.15">
      <c r="A10" s="1">
        <v>9</v>
      </c>
      <c r="B10" s="1" t="s">
        <v>46</v>
      </c>
      <c r="C10" s="1">
        <v>1</v>
      </c>
      <c r="D10" s="4" t="s">
        <v>7</v>
      </c>
      <c r="E10" s="4" t="s">
        <v>22</v>
      </c>
      <c r="F10" s="4" t="s">
        <v>16</v>
      </c>
      <c r="G10" s="4" t="s">
        <v>31</v>
      </c>
      <c r="H10" s="1" t="s">
        <v>34</v>
      </c>
      <c r="I10" s="1">
        <v>7.47</v>
      </c>
      <c r="J10" s="5">
        <f t="shared" si="0"/>
        <v>16.668898112197081</v>
      </c>
      <c r="K10" s="6">
        <f t="shared" si="1"/>
        <v>2.3996787148594381</v>
      </c>
      <c r="L10" s="6">
        <f t="shared" si="2"/>
        <v>7.6003212851405619</v>
      </c>
      <c r="M10" s="5">
        <v>10</v>
      </c>
    </row>
    <row r="11" spans="1:13" x14ac:dyDescent="0.15">
      <c r="A11" s="1">
        <v>10</v>
      </c>
      <c r="B11" s="1" t="s">
        <v>47</v>
      </c>
      <c r="C11" s="1">
        <v>1</v>
      </c>
      <c r="D11" s="4" t="s">
        <v>8</v>
      </c>
      <c r="E11" s="4" t="s">
        <v>23</v>
      </c>
      <c r="F11" s="4" t="s">
        <v>16</v>
      </c>
      <c r="G11" s="4" t="s">
        <v>31</v>
      </c>
      <c r="H11" s="1" t="s">
        <v>34</v>
      </c>
      <c r="I11" s="1">
        <v>2.19</v>
      </c>
      <c r="J11" s="5">
        <f t="shared" si="0"/>
        <v>4.8868657116079799</v>
      </c>
      <c r="K11" s="6">
        <f t="shared" si="1"/>
        <v>8.1852054794520548</v>
      </c>
      <c r="L11" s="6">
        <f t="shared" si="2"/>
        <v>1.8147945205479452</v>
      </c>
      <c r="M11" s="5">
        <v>10</v>
      </c>
    </row>
    <row r="12" spans="1:13" x14ac:dyDescent="0.15">
      <c r="A12" s="1">
        <v>11</v>
      </c>
      <c r="B12" s="1" t="s">
        <v>48</v>
      </c>
      <c r="C12" s="1">
        <v>1</v>
      </c>
      <c r="D12" s="4" t="s">
        <v>9</v>
      </c>
      <c r="E12" s="4" t="s">
        <v>24</v>
      </c>
      <c r="F12" s="4" t="s">
        <v>16</v>
      </c>
      <c r="G12" s="4" t="s">
        <v>31</v>
      </c>
      <c r="H12" s="1" t="s">
        <v>34</v>
      </c>
      <c r="I12" s="1">
        <v>2.12</v>
      </c>
      <c r="J12" s="5">
        <f t="shared" si="0"/>
        <v>4.730664524478958</v>
      </c>
      <c r="K12" s="6">
        <f t="shared" si="1"/>
        <v>8.4554716981132074</v>
      </c>
      <c r="L12" s="6">
        <f t="shared" si="2"/>
        <v>1.5445283018867926</v>
      </c>
      <c r="M12" s="5">
        <v>10</v>
      </c>
    </row>
    <row r="13" spans="1:13" x14ac:dyDescent="0.15">
      <c r="A13" s="1">
        <v>12</v>
      </c>
      <c r="B13" s="1" t="s">
        <v>49</v>
      </c>
      <c r="C13" s="1">
        <v>1</v>
      </c>
      <c r="D13" s="4" t="s">
        <v>10</v>
      </c>
      <c r="E13" s="4" t="s">
        <v>25</v>
      </c>
      <c r="F13" s="4" t="s">
        <v>16</v>
      </c>
      <c r="G13" s="4" t="s">
        <v>31</v>
      </c>
      <c r="H13" s="1" t="s">
        <v>34</v>
      </c>
      <c r="I13" s="1">
        <v>3.34</v>
      </c>
      <c r="J13" s="5">
        <f t="shared" si="0"/>
        <v>7.4530280715847725</v>
      </c>
      <c r="K13" s="6">
        <f t="shared" si="1"/>
        <v>5.3669461077844316</v>
      </c>
      <c r="L13" s="6">
        <f t="shared" si="2"/>
        <v>4.6330538922155684</v>
      </c>
      <c r="M13" s="5">
        <v>10</v>
      </c>
    </row>
    <row r="14" spans="1:13" x14ac:dyDescent="0.15">
      <c r="A14" s="1">
        <v>13</v>
      </c>
      <c r="B14" s="1" t="s">
        <v>50</v>
      </c>
      <c r="C14" s="1">
        <v>1</v>
      </c>
      <c r="D14" s="4" t="s">
        <v>11</v>
      </c>
      <c r="E14" s="4" t="s">
        <v>26</v>
      </c>
      <c r="F14" s="4" t="s">
        <v>16</v>
      </c>
      <c r="G14" s="4" t="s">
        <v>31</v>
      </c>
      <c r="H14" s="1" t="s">
        <v>34</v>
      </c>
      <c r="I14" s="1">
        <v>3.86</v>
      </c>
      <c r="J14" s="5">
        <f t="shared" si="0"/>
        <v>8.6133797474003657</v>
      </c>
      <c r="K14" s="6">
        <f t="shared" si="1"/>
        <v>4.6439378238341966</v>
      </c>
      <c r="L14" s="6">
        <f t="shared" si="2"/>
        <v>5.3560621761658034</v>
      </c>
      <c r="M14" s="5">
        <v>10</v>
      </c>
    </row>
    <row r="15" spans="1:13" x14ac:dyDescent="0.15">
      <c r="A15" s="1">
        <v>14</v>
      </c>
      <c r="B15" s="1" t="s">
        <v>51</v>
      </c>
      <c r="C15" s="1">
        <v>1</v>
      </c>
      <c r="D15" s="4" t="s">
        <v>12</v>
      </c>
      <c r="E15" s="4" t="s">
        <v>27</v>
      </c>
      <c r="F15" s="4" t="s">
        <v>16</v>
      </c>
      <c r="G15" s="4" t="s">
        <v>31</v>
      </c>
      <c r="H15" s="1" t="s">
        <v>34</v>
      </c>
      <c r="I15" s="1">
        <v>1.77</v>
      </c>
      <c r="J15" s="5">
        <f t="shared" si="0"/>
        <v>3.9496585888338469</v>
      </c>
      <c r="K15" s="6" t="s">
        <v>18</v>
      </c>
      <c r="L15" s="6" t="s">
        <v>18</v>
      </c>
      <c r="M15" s="5">
        <v>10</v>
      </c>
    </row>
    <row r="16" spans="1:13" x14ac:dyDescent="0.15">
      <c r="A16" s="1">
        <v>15</v>
      </c>
      <c r="B16" s="1" t="s">
        <v>52</v>
      </c>
      <c r="C16" s="1">
        <v>1</v>
      </c>
      <c r="D16" s="4" t="s">
        <v>13</v>
      </c>
      <c r="E16" s="4" t="s">
        <v>28</v>
      </c>
      <c r="F16" s="4" t="s">
        <v>16</v>
      </c>
      <c r="G16" s="4" t="s">
        <v>31</v>
      </c>
      <c r="H16" s="1" t="s">
        <v>34</v>
      </c>
      <c r="I16" s="1">
        <v>3.45</v>
      </c>
      <c r="J16" s="5">
        <f t="shared" si="0"/>
        <v>7.6984870799303797</v>
      </c>
      <c r="K16" s="6">
        <f t="shared" si="1"/>
        <v>5.1958260869565214</v>
      </c>
      <c r="L16" s="6">
        <f t="shared" si="2"/>
        <v>4.8041739130434786</v>
      </c>
      <c r="M16" s="5">
        <v>10</v>
      </c>
    </row>
    <row r="17" spans="1:13" x14ac:dyDescent="0.15">
      <c r="A17" s="1">
        <v>16</v>
      </c>
      <c r="B17" s="1" t="s">
        <v>53</v>
      </c>
      <c r="C17" s="1">
        <v>1</v>
      </c>
      <c r="D17" s="4" t="s">
        <v>14</v>
      </c>
      <c r="E17" s="4" t="s">
        <v>29</v>
      </c>
      <c r="F17" s="4" t="s">
        <v>16</v>
      </c>
      <c r="G17" s="4" t="s">
        <v>31</v>
      </c>
      <c r="H17" s="1" t="s">
        <v>34</v>
      </c>
      <c r="I17" s="1">
        <v>14.3</v>
      </c>
      <c r="J17" s="5">
        <f t="shared" si="0"/>
        <v>31.909671084928821</v>
      </c>
      <c r="K17" s="6">
        <f t="shared" si="1"/>
        <v>1.2535384615384615</v>
      </c>
      <c r="L17" s="6">
        <f t="shared" si="2"/>
        <v>8.7464615384615385</v>
      </c>
      <c r="M17" s="5">
        <v>10</v>
      </c>
    </row>
    <row r="18" spans="1:13" x14ac:dyDescent="0.15">
      <c r="A18" s="1">
        <v>17</v>
      </c>
      <c r="B18" s="1" t="s">
        <v>54</v>
      </c>
      <c r="C18" s="1">
        <v>1</v>
      </c>
      <c r="D18" s="4" t="s">
        <v>7</v>
      </c>
      <c r="E18" s="4" t="s">
        <v>22</v>
      </c>
      <c r="F18" s="4" t="s">
        <v>35</v>
      </c>
      <c r="G18" s="7" t="s">
        <v>36</v>
      </c>
      <c r="H18" s="1" t="s">
        <v>37</v>
      </c>
      <c r="I18" s="1">
        <v>1.99</v>
      </c>
      <c r="J18" s="5">
        <f t="shared" si="0"/>
        <v>4.4405766055250586</v>
      </c>
      <c r="K18" s="6">
        <f t="shared" si="1"/>
        <v>9.0078391959799013</v>
      </c>
      <c r="L18" s="6">
        <f t="shared" si="2"/>
        <v>0.99216080402009865</v>
      </c>
      <c r="M18" s="5">
        <v>10</v>
      </c>
    </row>
    <row r="19" spans="1:13" x14ac:dyDescent="0.15">
      <c r="A19" s="1">
        <v>18</v>
      </c>
      <c r="B19" s="1" t="s">
        <v>55</v>
      </c>
      <c r="C19" s="1">
        <v>1</v>
      </c>
      <c r="D19" s="4" t="s">
        <v>8</v>
      </c>
      <c r="E19" s="4" t="s">
        <v>23</v>
      </c>
      <c r="F19" s="4" t="s">
        <v>35</v>
      </c>
      <c r="G19" s="7" t="s">
        <v>36</v>
      </c>
      <c r="H19" s="1" t="s">
        <v>37</v>
      </c>
      <c r="I19" s="1">
        <v>4.66</v>
      </c>
      <c r="J19" s="5">
        <f t="shared" si="0"/>
        <v>10.398536171732047</v>
      </c>
      <c r="K19" s="6">
        <f t="shared" si="1"/>
        <v>3.8466952789699573</v>
      </c>
      <c r="L19" s="6">
        <f t="shared" si="2"/>
        <v>6.1533047210300431</v>
      </c>
      <c r="M19" s="5">
        <v>10</v>
      </c>
    </row>
    <row r="20" spans="1:13" x14ac:dyDescent="0.15">
      <c r="A20" s="1">
        <v>19</v>
      </c>
      <c r="B20" s="1" t="s">
        <v>56</v>
      </c>
      <c r="C20" s="1">
        <v>1</v>
      </c>
      <c r="D20" s="4" t="s">
        <v>9</v>
      </c>
      <c r="E20" s="4" t="s">
        <v>24</v>
      </c>
      <c r="F20" s="4" t="s">
        <v>35</v>
      </c>
      <c r="G20" s="7" t="s">
        <v>36</v>
      </c>
      <c r="H20" s="1" t="s">
        <v>37</v>
      </c>
      <c r="I20" s="1">
        <v>2.41</v>
      </c>
      <c r="J20" s="5">
        <f t="shared" si="0"/>
        <v>5.3777837282991925</v>
      </c>
      <c r="K20" s="6">
        <f t="shared" si="1"/>
        <v>7.4380082987551868</v>
      </c>
      <c r="L20" s="6">
        <f t="shared" si="2"/>
        <v>2.5619917012448132</v>
      </c>
      <c r="M20" s="5">
        <v>10</v>
      </c>
    </row>
    <row r="21" spans="1:13" x14ac:dyDescent="0.15">
      <c r="A21" s="1">
        <v>20</v>
      </c>
      <c r="B21" s="1" t="s">
        <v>57</v>
      </c>
      <c r="C21" s="1">
        <v>1</v>
      </c>
      <c r="D21" s="4" t="s">
        <v>10</v>
      </c>
      <c r="E21" s="4" t="s">
        <v>25</v>
      </c>
      <c r="F21" s="4" t="s">
        <v>35</v>
      </c>
      <c r="G21" s="7" t="s">
        <v>36</v>
      </c>
      <c r="H21" s="1" t="s">
        <v>37</v>
      </c>
      <c r="I21" s="1">
        <v>7.83</v>
      </c>
      <c r="J21" s="5">
        <f t="shared" si="0"/>
        <v>17.472218503146337</v>
      </c>
      <c r="K21" s="6">
        <f t="shared" si="1"/>
        <v>2.2893486590038314</v>
      </c>
      <c r="L21" s="6">
        <f t="shared" si="2"/>
        <v>7.7106513409961686</v>
      </c>
      <c r="M21" s="5">
        <v>10</v>
      </c>
    </row>
    <row r="22" spans="1:13" x14ac:dyDescent="0.15">
      <c r="A22" s="1">
        <v>21</v>
      </c>
      <c r="B22" s="1" t="s">
        <v>58</v>
      </c>
      <c r="C22" s="1">
        <v>1</v>
      </c>
      <c r="D22" s="4" t="s">
        <v>11</v>
      </c>
      <c r="E22" s="4" t="s">
        <v>26</v>
      </c>
      <c r="F22" s="4" t="s">
        <v>35</v>
      </c>
      <c r="G22" s="7" t="s">
        <v>36</v>
      </c>
      <c r="H22" s="1" t="s">
        <v>37</v>
      </c>
      <c r="I22" s="1">
        <v>6.8</v>
      </c>
      <c r="J22" s="5">
        <f t="shared" si="0"/>
        <v>15.173829606819297</v>
      </c>
      <c r="K22" s="6">
        <f t="shared" si="1"/>
        <v>2.6361176470588239</v>
      </c>
      <c r="L22" s="6">
        <f t="shared" si="2"/>
        <v>7.3638823529411761</v>
      </c>
      <c r="M22" s="5">
        <v>10</v>
      </c>
    </row>
    <row r="23" spans="1:13" x14ac:dyDescent="0.15">
      <c r="A23" s="1">
        <v>22</v>
      </c>
      <c r="B23" s="1" t="s">
        <v>59</v>
      </c>
      <c r="C23" s="1">
        <v>1</v>
      </c>
      <c r="D23" s="4" t="s">
        <v>12</v>
      </c>
      <c r="E23" s="4" t="s">
        <v>27</v>
      </c>
      <c r="F23" s="4" t="s">
        <v>35</v>
      </c>
      <c r="G23" s="7" t="s">
        <v>36</v>
      </c>
      <c r="H23" s="1" t="s">
        <v>37</v>
      </c>
      <c r="I23" s="1">
        <v>3.2</v>
      </c>
      <c r="J23" s="5">
        <f t="shared" si="0"/>
        <v>7.1406256973267288</v>
      </c>
      <c r="K23" s="6">
        <f t="shared" si="1"/>
        <v>5.60175</v>
      </c>
      <c r="L23" s="6">
        <f t="shared" si="2"/>
        <v>4.39825</v>
      </c>
      <c r="M23" s="5">
        <v>10</v>
      </c>
    </row>
    <row r="24" spans="1:13" x14ac:dyDescent="0.15">
      <c r="A24" s="1">
        <v>23</v>
      </c>
      <c r="B24" s="1" t="s">
        <v>60</v>
      </c>
      <c r="C24" s="1">
        <v>1</v>
      </c>
      <c r="D24" s="4" t="s">
        <v>13</v>
      </c>
      <c r="E24" s="4" t="s">
        <v>28</v>
      </c>
      <c r="F24" s="4" t="s">
        <v>35</v>
      </c>
      <c r="G24" s="7" t="s">
        <v>36</v>
      </c>
      <c r="H24" s="1" t="s">
        <v>37</v>
      </c>
      <c r="I24" s="1">
        <v>5.74</v>
      </c>
      <c r="J24" s="5">
        <f t="shared" si="0"/>
        <v>12.80849734457982</v>
      </c>
      <c r="K24" s="6">
        <f t="shared" si="1"/>
        <v>3.1229268292682923</v>
      </c>
      <c r="L24" s="6">
        <f t="shared" si="2"/>
        <v>6.8770731707317072</v>
      </c>
      <c r="M24" s="5">
        <v>10</v>
      </c>
    </row>
    <row r="25" spans="1:13" x14ac:dyDescent="0.15">
      <c r="A25" s="1">
        <v>24</v>
      </c>
      <c r="B25" s="1" t="s">
        <v>61</v>
      </c>
      <c r="C25" s="1">
        <v>1</v>
      </c>
      <c r="D25" s="4" t="s">
        <v>14</v>
      </c>
      <c r="E25" s="4" t="s">
        <v>29</v>
      </c>
      <c r="F25" s="4" t="s">
        <v>35</v>
      </c>
      <c r="G25" s="7" t="s">
        <v>36</v>
      </c>
      <c r="H25" s="1" t="s">
        <v>37</v>
      </c>
      <c r="I25" s="1">
        <v>2.46</v>
      </c>
      <c r="J25" s="5">
        <f t="shared" si="0"/>
        <v>5.4893560048199221</v>
      </c>
      <c r="K25" s="6">
        <f t="shared" si="1"/>
        <v>7.2868292682926832</v>
      </c>
      <c r="L25" s="6">
        <f t="shared" si="2"/>
        <v>2.7131707317073168</v>
      </c>
      <c r="M25" s="5">
        <v>10</v>
      </c>
    </row>
    <row r="26" spans="1:13" x14ac:dyDescent="0.15">
      <c r="A26" s="1">
        <v>25</v>
      </c>
      <c r="B26" s="1" t="s">
        <v>62</v>
      </c>
      <c r="C26" s="1">
        <v>1</v>
      </c>
      <c r="D26" s="4" t="s">
        <v>7</v>
      </c>
      <c r="E26" s="4" t="s">
        <v>22</v>
      </c>
      <c r="F26" s="4" t="s">
        <v>230</v>
      </c>
      <c r="G26" s="7" t="s">
        <v>231</v>
      </c>
      <c r="H26" s="1" t="s">
        <v>264</v>
      </c>
      <c r="I26" s="1">
        <v>2.82</v>
      </c>
      <c r="J26" s="5">
        <f t="shared" si="0"/>
        <v>6.2926763957691785</v>
      </c>
      <c r="K26" s="6">
        <f t="shared" si="1"/>
        <v>6.3565957446808516</v>
      </c>
      <c r="L26" s="6">
        <f t="shared" si="2"/>
        <v>3.6434042553191484</v>
      </c>
      <c r="M26" s="5">
        <v>10</v>
      </c>
    </row>
    <row r="27" spans="1:13" x14ac:dyDescent="0.15">
      <c r="A27" s="1">
        <v>26</v>
      </c>
      <c r="B27" s="1" t="s">
        <v>63</v>
      </c>
      <c r="C27" s="1">
        <v>1</v>
      </c>
      <c r="D27" s="4" t="s">
        <v>8</v>
      </c>
      <c r="E27" s="4" t="s">
        <v>23</v>
      </c>
      <c r="F27" s="4" t="s">
        <v>230</v>
      </c>
      <c r="G27" s="7" t="s">
        <v>231</v>
      </c>
      <c r="H27" s="1" t="s">
        <v>264</v>
      </c>
      <c r="I27" s="1">
        <v>5.72</v>
      </c>
      <c r="J27" s="5">
        <f t="shared" si="0"/>
        <v>12.763868433971526</v>
      </c>
      <c r="K27" s="6">
        <f t="shared" si="1"/>
        <v>3.1338461538461542</v>
      </c>
      <c r="L27" s="6">
        <f t="shared" si="2"/>
        <v>6.8661538461538463</v>
      </c>
      <c r="M27" s="5">
        <v>10</v>
      </c>
    </row>
    <row r="28" spans="1:13" x14ac:dyDescent="0.15">
      <c r="A28" s="1">
        <v>27</v>
      </c>
      <c r="B28" s="1" t="s">
        <v>64</v>
      </c>
      <c r="C28" s="1">
        <v>1</v>
      </c>
      <c r="D28" s="4" t="s">
        <v>9</v>
      </c>
      <c r="E28" s="4" t="s">
        <v>24</v>
      </c>
      <c r="F28" s="4" t="s">
        <v>230</v>
      </c>
      <c r="G28" s="7" t="s">
        <v>231</v>
      </c>
      <c r="H28" s="1" t="s">
        <v>264</v>
      </c>
      <c r="I28" s="1">
        <v>6.3</v>
      </c>
      <c r="J28" s="5">
        <f t="shared" si="0"/>
        <v>14.058106841611995</v>
      </c>
      <c r="K28" s="6">
        <f t="shared" si="1"/>
        <v>2.8453333333333335</v>
      </c>
      <c r="L28" s="6">
        <f t="shared" si="2"/>
        <v>7.1546666666666665</v>
      </c>
      <c r="M28" s="5">
        <v>10</v>
      </c>
    </row>
    <row r="29" spans="1:13" x14ac:dyDescent="0.15">
      <c r="A29" s="1">
        <v>28</v>
      </c>
      <c r="B29" s="1" t="s">
        <v>65</v>
      </c>
      <c r="C29" s="1">
        <v>1</v>
      </c>
      <c r="D29" s="4" t="s">
        <v>10</v>
      </c>
      <c r="E29" s="4" t="s">
        <v>25</v>
      </c>
      <c r="F29" s="4" t="s">
        <v>230</v>
      </c>
      <c r="G29" s="7" t="s">
        <v>231</v>
      </c>
      <c r="H29" s="1" t="s">
        <v>264</v>
      </c>
      <c r="I29" s="1">
        <v>12.3</v>
      </c>
      <c r="J29" s="5">
        <f t="shared" si="0"/>
        <v>27.446780024099613</v>
      </c>
      <c r="K29" s="6">
        <f t="shared" si="1"/>
        <v>1.4573658536585365</v>
      </c>
      <c r="L29" s="6">
        <f t="shared" si="2"/>
        <v>8.542634146341463</v>
      </c>
      <c r="M29" s="5">
        <v>10</v>
      </c>
    </row>
    <row r="30" spans="1:13" x14ac:dyDescent="0.15">
      <c r="A30" s="1">
        <v>29</v>
      </c>
      <c r="B30" s="1" t="s">
        <v>66</v>
      </c>
      <c r="C30" s="1">
        <v>1</v>
      </c>
      <c r="D30" s="4" t="s">
        <v>11</v>
      </c>
      <c r="E30" s="4" t="s">
        <v>26</v>
      </c>
      <c r="F30" s="4" t="s">
        <v>230</v>
      </c>
      <c r="G30" s="7" t="s">
        <v>231</v>
      </c>
      <c r="H30" s="1" t="s">
        <v>264</v>
      </c>
      <c r="I30" s="1">
        <v>9.93</v>
      </c>
      <c r="J30" s="5">
        <f t="shared" si="0"/>
        <v>22.158254117017005</v>
      </c>
      <c r="K30" s="6">
        <f t="shared" si="1"/>
        <v>1.8051963746223563</v>
      </c>
      <c r="L30" s="6">
        <f t="shared" si="2"/>
        <v>8.1948036253776433</v>
      </c>
      <c r="M30" s="5">
        <v>10</v>
      </c>
    </row>
    <row r="31" spans="1:13" x14ac:dyDescent="0.15">
      <c r="A31" s="1">
        <v>30</v>
      </c>
      <c r="B31" s="1" t="s">
        <v>67</v>
      </c>
      <c r="C31" s="1">
        <v>1</v>
      </c>
      <c r="D31" s="4" t="s">
        <v>12</v>
      </c>
      <c r="E31" s="4" t="s">
        <v>27</v>
      </c>
      <c r="F31" s="4" t="s">
        <v>230</v>
      </c>
      <c r="G31" s="7" t="s">
        <v>231</v>
      </c>
      <c r="H31" s="1" t="s">
        <v>264</v>
      </c>
      <c r="I31" s="1">
        <v>10.1</v>
      </c>
      <c r="J31" s="5">
        <f t="shared" si="0"/>
        <v>22.537599857187487</v>
      </c>
      <c r="K31" s="6">
        <f t="shared" si="1"/>
        <v>1.7748118811881186</v>
      </c>
      <c r="L31" s="6">
        <f t="shared" si="2"/>
        <v>8.2251881188118823</v>
      </c>
      <c r="M31" s="5">
        <v>10</v>
      </c>
    </row>
    <row r="32" spans="1:13" x14ac:dyDescent="0.15">
      <c r="A32" s="1">
        <v>31</v>
      </c>
      <c r="B32" s="1" t="s">
        <v>68</v>
      </c>
      <c r="C32" s="1">
        <v>1</v>
      </c>
      <c r="D32" s="4" t="s">
        <v>13</v>
      </c>
      <c r="E32" s="4" t="s">
        <v>28</v>
      </c>
      <c r="F32" s="4" t="s">
        <v>230</v>
      </c>
      <c r="G32" s="7" t="s">
        <v>231</v>
      </c>
      <c r="H32" s="1" t="s">
        <v>264</v>
      </c>
      <c r="I32" s="1">
        <v>15</v>
      </c>
      <c r="J32" s="5">
        <f t="shared" si="0"/>
        <v>33.471682956219034</v>
      </c>
      <c r="K32" s="6">
        <f t="shared" si="1"/>
        <v>1.1950400000000001</v>
      </c>
      <c r="L32" s="6">
        <f t="shared" si="2"/>
        <v>8.8049599999999995</v>
      </c>
      <c r="M32" s="5">
        <v>10</v>
      </c>
    </row>
    <row r="33" spans="1:13" x14ac:dyDescent="0.15">
      <c r="A33" s="1">
        <v>32</v>
      </c>
      <c r="B33" s="1" t="s">
        <v>69</v>
      </c>
      <c r="C33" s="1">
        <v>1</v>
      </c>
      <c r="D33" s="4" t="s">
        <v>14</v>
      </c>
      <c r="E33" s="4" t="s">
        <v>29</v>
      </c>
      <c r="F33" s="4" t="s">
        <v>230</v>
      </c>
      <c r="G33" s="7" t="s">
        <v>231</v>
      </c>
      <c r="H33" s="1" t="s">
        <v>264</v>
      </c>
      <c r="I33" s="1">
        <v>8.8800000000000008</v>
      </c>
      <c r="J33" s="5">
        <f t="shared" si="0"/>
        <v>19.815236310081673</v>
      </c>
      <c r="K33" s="6">
        <f t="shared" si="1"/>
        <v>2.0186486486486483</v>
      </c>
      <c r="L33" s="6">
        <f t="shared" si="2"/>
        <v>7.9813513513513517</v>
      </c>
      <c r="M33" s="5">
        <v>10</v>
      </c>
    </row>
    <row r="34" spans="1:13" x14ac:dyDescent="0.15">
      <c r="A34" s="1">
        <v>33</v>
      </c>
      <c r="B34" s="1" t="s">
        <v>70</v>
      </c>
      <c r="C34" s="1">
        <v>1</v>
      </c>
      <c r="D34" s="4" t="s">
        <v>7</v>
      </c>
      <c r="E34" s="4" t="s">
        <v>22</v>
      </c>
      <c r="F34" s="4" t="s">
        <v>232</v>
      </c>
      <c r="G34" s="7" t="s">
        <v>233</v>
      </c>
      <c r="H34" s="1" t="s">
        <v>265</v>
      </c>
      <c r="I34" s="1">
        <v>6.81</v>
      </c>
      <c r="J34" s="5">
        <f t="shared" si="0"/>
        <v>15.196144062123443</v>
      </c>
      <c r="K34" s="6">
        <f t="shared" si="1"/>
        <v>2.6322466960352426</v>
      </c>
      <c r="L34" s="6">
        <f t="shared" si="2"/>
        <v>7.3677533039647578</v>
      </c>
      <c r="M34" s="5">
        <v>10</v>
      </c>
    </row>
    <row r="35" spans="1:13" x14ac:dyDescent="0.15">
      <c r="A35" s="1">
        <v>34</v>
      </c>
      <c r="B35" s="1" t="s">
        <v>71</v>
      </c>
      <c r="C35" s="1">
        <v>1</v>
      </c>
      <c r="D35" s="4" t="s">
        <v>8</v>
      </c>
      <c r="E35" s="4" t="s">
        <v>23</v>
      </c>
      <c r="F35" s="4" t="s">
        <v>232</v>
      </c>
      <c r="G35" s="7" t="s">
        <v>233</v>
      </c>
      <c r="H35" s="1" t="s">
        <v>265</v>
      </c>
      <c r="I35" s="1">
        <v>11.1</v>
      </c>
      <c r="J35" s="5">
        <f t="shared" si="0"/>
        <v>24.769045387602088</v>
      </c>
      <c r="K35" s="6">
        <f t="shared" si="1"/>
        <v>1.614918918918919</v>
      </c>
      <c r="L35" s="6">
        <f t="shared" si="2"/>
        <v>8.385081081081081</v>
      </c>
      <c r="M35" s="5">
        <v>10</v>
      </c>
    </row>
    <row r="36" spans="1:13" x14ac:dyDescent="0.15">
      <c r="A36" s="1">
        <v>35</v>
      </c>
      <c r="B36" s="1" t="s">
        <v>72</v>
      </c>
      <c r="C36" s="1">
        <v>1</v>
      </c>
      <c r="D36" s="4" t="s">
        <v>9</v>
      </c>
      <c r="E36" s="4" t="s">
        <v>24</v>
      </c>
      <c r="F36" s="4" t="s">
        <v>232</v>
      </c>
      <c r="G36" s="7" t="s">
        <v>233</v>
      </c>
      <c r="H36" s="1" t="s">
        <v>265</v>
      </c>
      <c r="I36" s="1">
        <v>9.44</v>
      </c>
      <c r="J36" s="5">
        <f t="shared" si="0"/>
        <v>21.064845807113848</v>
      </c>
      <c r="K36" s="6">
        <f t="shared" si="1"/>
        <v>1.8988983050847459</v>
      </c>
      <c r="L36" s="6">
        <f t="shared" si="2"/>
        <v>8.1011016949152541</v>
      </c>
      <c r="M36" s="5">
        <v>10</v>
      </c>
    </row>
    <row r="37" spans="1:13" x14ac:dyDescent="0.15">
      <c r="A37" s="1">
        <v>36</v>
      </c>
      <c r="B37" s="1" t="s">
        <v>73</v>
      </c>
      <c r="C37" s="1">
        <v>1</v>
      </c>
      <c r="D37" s="4" t="s">
        <v>10</v>
      </c>
      <c r="E37" s="4" t="s">
        <v>25</v>
      </c>
      <c r="F37" s="4" t="s">
        <v>232</v>
      </c>
      <c r="G37" s="7" t="s">
        <v>233</v>
      </c>
      <c r="H37" s="1" t="s">
        <v>265</v>
      </c>
      <c r="I37" s="1">
        <v>6.36</v>
      </c>
      <c r="J37" s="5">
        <f t="shared" si="0"/>
        <v>14.191993573436873</v>
      </c>
      <c r="K37" s="6">
        <f t="shared" si="1"/>
        <v>2.8184905660377355</v>
      </c>
      <c r="L37" s="6">
        <f t="shared" si="2"/>
        <v>7.1815094339622645</v>
      </c>
      <c r="M37" s="5">
        <v>10</v>
      </c>
    </row>
    <row r="38" spans="1:13" x14ac:dyDescent="0.15">
      <c r="A38" s="1">
        <v>37</v>
      </c>
      <c r="B38" s="1" t="s">
        <v>74</v>
      </c>
      <c r="C38" s="1">
        <v>1</v>
      </c>
      <c r="D38" s="4" t="s">
        <v>11</v>
      </c>
      <c r="E38" s="4" t="s">
        <v>26</v>
      </c>
      <c r="F38" s="4" t="s">
        <v>232</v>
      </c>
      <c r="G38" s="7" t="s">
        <v>233</v>
      </c>
      <c r="H38" s="1" t="s">
        <v>265</v>
      </c>
      <c r="I38" s="1">
        <v>9.36</v>
      </c>
      <c r="J38" s="5">
        <f t="shared" si="0"/>
        <v>20.886330164680679</v>
      </c>
      <c r="K38" s="6">
        <f t="shared" si="1"/>
        <v>1.9151282051282053</v>
      </c>
      <c r="L38" s="6">
        <f t="shared" si="2"/>
        <v>8.0848717948717947</v>
      </c>
      <c r="M38" s="5">
        <v>10</v>
      </c>
    </row>
    <row r="39" spans="1:13" x14ac:dyDescent="0.15">
      <c r="A39" s="1">
        <v>38</v>
      </c>
      <c r="B39" s="1" t="s">
        <v>75</v>
      </c>
      <c r="C39" s="1">
        <v>1</v>
      </c>
      <c r="D39" s="4" t="s">
        <v>12</v>
      </c>
      <c r="E39" s="4" t="s">
        <v>27</v>
      </c>
      <c r="F39" s="4" t="s">
        <v>232</v>
      </c>
      <c r="G39" s="7" t="s">
        <v>233</v>
      </c>
      <c r="H39" s="1" t="s">
        <v>265</v>
      </c>
      <c r="I39" s="1">
        <v>17.2</v>
      </c>
      <c r="J39" s="5">
        <f t="shared" si="0"/>
        <v>38.380863123131164</v>
      </c>
      <c r="K39" s="6">
        <f t="shared" si="1"/>
        <v>1.0421860465116279</v>
      </c>
      <c r="L39" s="6">
        <f t="shared" si="2"/>
        <v>8.9578139534883725</v>
      </c>
      <c r="M39" s="5">
        <v>10</v>
      </c>
    </row>
    <row r="40" spans="1:13" x14ac:dyDescent="0.15">
      <c r="A40" s="1">
        <v>39</v>
      </c>
      <c r="B40" s="1" t="s">
        <v>76</v>
      </c>
      <c r="C40" s="1">
        <v>1</v>
      </c>
      <c r="D40" s="4" t="s">
        <v>13</v>
      </c>
      <c r="E40" s="4" t="s">
        <v>28</v>
      </c>
      <c r="F40" s="4" t="s">
        <v>232</v>
      </c>
      <c r="G40" s="7" t="s">
        <v>233</v>
      </c>
      <c r="H40" s="1" t="s">
        <v>265</v>
      </c>
      <c r="I40" s="1">
        <v>16.100000000000001</v>
      </c>
      <c r="J40" s="5">
        <f t="shared" si="0"/>
        <v>35.926273039675102</v>
      </c>
      <c r="K40" s="6">
        <f t="shared" si="1"/>
        <v>1.1133913043478261</v>
      </c>
      <c r="L40" s="6">
        <f t="shared" si="2"/>
        <v>8.8866086956521748</v>
      </c>
      <c r="M40" s="5">
        <v>10</v>
      </c>
    </row>
    <row r="41" spans="1:13" x14ac:dyDescent="0.15">
      <c r="A41" s="1">
        <v>40</v>
      </c>
      <c r="B41" s="1" t="s">
        <v>77</v>
      </c>
      <c r="C41" s="1">
        <v>1</v>
      </c>
      <c r="D41" s="4" t="s">
        <v>14</v>
      </c>
      <c r="E41" s="4" t="s">
        <v>29</v>
      </c>
      <c r="F41" s="4" t="s">
        <v>232</v>
      </c>
      <c r="G41" s="7" t="s">
        <v>233</v>
      </c>
      <c r="H41" s="1" t="s">
        <v>265</v>
      </c>
      <c r="I41" s="1">
        <v>17.600000000000001</v>
      </c>
      <c r="J41" s="5">
        <f t="shared" si="0"/>
        <v>39.273441335297008</v>
      </c>
      <c r="K41" s="6">
        <f t="shared" si="1"/>
        <v>1.0185</v>
      </c>
      <c r="L41" s="6">
        <f t="shared" si="2"/>
        <v>8.9815000000000005</v>
      </c>
      <c r="M41" s="5">
        <v>10</v>
      </c>
    </row>
    <row r="42" spans="1:13" x14ac:dyDescent="0.15">
      <c r="A42" s="1">
        <v>41</v>
      </c>
      <c r="B42" s="1" t="s">
        <v>78</v>
      </c>
      <c r="C42" s="1">
        <v>1</v>
      </c>
      <c r="D42" s="4" t="s">
        <v>7</v>
      </c>
      <c r="E42" s="4" t="s">
        <v>22</v>
      </c>
      <c r="F42" s="4" t="s">
        <v>234</v>
      </c>
      <c r="G42" s="7" t="s">
        <v>235</v>
      </c>
      <c r="H42" s="1" t="s">
        <v>266</v>
      </c>
      <c r="I42" s="1">
        <v>8.23</v>
      </c>
      <c r="J42" s="5">
        <f t="shared" si="0"/>
        <v>18.364796715312181</v>
      </c>
      <c r="K42" s="6">
        <f t="shared" si="1"/>
        <v>2.1780801944106924</v>
      </c>
      <c r="L42" s="6">
        <f t="shared" si="2"/>
        <v>7.8219198055893076</v>
      </c>
      <c r="M42" s="5">
        <v>10</v>
      </c>
    </row>
    <row r="43" spans="1:13" x14ac:dyDescent="0.15">
      <c r="A43" s="1">
        <v>42</v>
      </c>
      <c r="B43" s="1" t="s">
        <v>79</v>
      </c>
      <c r="C43" s="1">
        <v>1</v>
      </c>
      <c r="D43" s="4" t="s">
        <v>8</v>
      </c>
      <c r="E43" s="4" t="s">
        <v>23</v>
      </c>
      <c r="F43" s="4" t="s">
        <v>234</v>
      </c>
      <c r="G43" s="7" t="s">
        <v>235</v>
      </c>
      <c r="H43" s="1" t="s">
        <v>266</v>
      </c>
      <c r="I43" s="1">
        <v>15.2</v>
      </c>
      <c r="J43" s="5">
        <f t="shared" si="0"/>
        <v>33.917972062301956</v>
      </c>
      <c r="K43" s="6">
        <f t="shared" si="1"/>
        <v>1.1793157894736843</v>
      </c>
      <c r="L43" s="6">
        <f t="shared" si="2"/>
        <v>8.8206842105263163</v>
      </c>
      <c r="M43" s="5">
        <v>10</v>
      </c>
    </row>
    <row r="44" spans="1:13" x14ac:dyDescent="0.15">
      <c r="A44" s="1">
        <v>43</v>
      </c>
      <c r="B44" s="1" t="s">
        <v>80</v>
      </c>
      <c r="C44" s="1">
        <v>1</v>
      </c>
      <c r="D44" s="4" t="s">
        <v>9</v>
      </c>
      <c r="E44" s="4" t="s">
        <v>24</v>
      </c>
      <c r="F44" s="4" t="s">
        <v>234</v>
      </c>
      <c r="G44" s="7" t="s">
        <v>235</v>
      </c>
      <c r="H44" s="1" t="s">
        <v>266</v>
      </c>
      <c r="I44" s="1">
        <v>2.85</v>
      </c>
      <c r="J44" s="5">
        <f t="shared" si="0"/>
        <v>6.3596197616816177</v>
      </c>
      <c r="K44" s="6">
        <f t="shared" si="1"/>
        <v>6.2896842105263158</v>
      </c>
      <c r="L44" s="6">
        <f t="shared" si="2"/>
        <v>3.7103157894736842</v>
      </c>
      <c r="M44" s="5">
        <v>10</v>
      </c>
    </row>
    <row r="45" spans="1:13" x14ac:dyDescent="0.15">
      <c r="A45" s="1">
        <v>44</v>
      </c>
      <c r="B45" s="1" t="s">
        <v>81</v>
      </c>
      <c r="C45" s="1">
        <v>1</v>
      </c>
      <c r="D45" s="4" t="s">
        <v>10</v>
      </c>
      <c r="E45" s="4" t="s">
        <v>25</v>
      </c>
      <c r="F45" s="4" t="s">
        <v>234</v>
      </c>
      <c r="G45" s="7" t="s">
        <v>235</v>
      </c>
      <c r="H45" s="1" t="s">
        <v>266</v>
      </c>
      <c r="I45" s="1">
        <v>3.46</v>
      </c>
      <c r="J45" s="5">
        <f t="shared" si="0"/>
        <v>7.7208015352345258</v>
      </c>
      <c r="K45" s="6">
        <f t="shared" si="1"/>
        <v>5.1808092485549126</v>
      </c>
      <c r="L45" s="6">
        <f t="shared" si="2"/>
        <v>4.8191907514450874</v>
      </c>
      <c r="M45" s="5">
        <v>10</v>
      </c>
    </row>
    <row r="46" spans="1:13" x14ac:dyDescent="0.15">
      <c r="A46" s="1">
        <v>45</v>
      </c>
      <c r="B46" s="1" t="s">
        <v>82</v>
      </c>
      <c r="C46" s="1">
        <v>1</v>
      </c>
      <c r="D46" s="4" t="s">
        <v>11</v>
      </c>
      <c r="E46" s="4" t="s">
        <v>26</v>
      </c>
      <c r="F46" s="4" t="s">
        <v>234</v>
      </c>
      <c r="G46" s="7" t="s">
        <v>235</v>
      </c>
      <c r="H46" s="1" t="s">
        <v>266</v>
      </c>
      <c r="I46" s="1">
        <v>2.97</v>
      </c>
      <c r="J46" s="5">
        <f t="shared" si="0"/>
        <v>6.6273932253313701</v>
      </c>
      <c r="K46" s="6">
        <f t="shared" si="1"/>
        <v>6.0355555555555549</v>
      </c>
      <c r="L46" s="6">
        <f t="shared" si="2"/>
        <v>3.9644444444444451</v>
      </c>
      <c r="M46" s="5">
        <v>10</v>
      </c>
    </row>
    <row r="47" spans="1:13" x14ac:dyDescent="0.15">
      <c r="A47" s="1">
        <v>46</v>
      </c>
      <c r="B47" s="1" t="s">
        <v>83</v>
      </c>
      <c r="C47" s="1">
        <v>1</v>
      </c>
      <c r="D47" s="4" t="s">
        <v>12</v>
      </c>
      <c r="E47" s="4" t="s">
        <v>27</v>
      </c>
      <c r="F47" s="4" t="s">
        <v>234</v>
      </c>
      <c r="G47" s="7" t="s">
        <v>235</v>
      </c>
      <c r="H47" s="1" t="s">
        <v>266</v>
      </c>
      <c r="I47" s="1">
        <v>2.29</v>
      </c>
      <c r="J47" s="5">
        <f t="shared" si="0"/>
        <v>5.1100102646494401</v>
      </c>
      <c r="K47" s="6">
        <f t="shared" si="1"/>
        <v>7.8277729257641919</v>
      </c>
      <c r="L47" s="6">
        <f t="shared" si="2"/>
        <v>2.1722270742358081</v>
      </c>
      <c r="M47" s="5">
        <v>10</v>
      </c>
    </row>
    <row r="48" spans="1:13" x14ac:dyDescent="0.15">
      <c r="A48" s="1">
        <v>47</v>
      </c>
      <c r="B48" s="1" t="s">
        <v>84</v>
      </c>
      <c r="C48" s="1">
        <v>1</v>
      </c>
      <c r="D48" s="4" t="s">
        <v>13</v>
      </c>
      <c r="E48" s="4" t="s">
        <v>28</v>
      </c>
      <c r="F48" s="4" t="s">
        <v>234</v>
      </c>
      <c r="G48" s="7" t="s">
        <v>235</v>
      </c>
      <c r="H48" s="1" t="s">
        <v>266</v>
      </c>
      <c r="I48" s="1">
        <v>2.7</v>
      </c>
      <c r="J48" s="5">
        <f t="shared" si="0"/>
        <v>6.024902932119427</v>
      </c>
      <c r="K48" s="6">
        <f t="shared" si="1"/>
        <v>6.6391111111111112</v>
      </c>
      <c r="L48" s="6">
        <f t="shared" si="2"/>
        <v>3.3608888888888888</v>
      </c>
      <c r="M48" s="5">
        <v>10</v>
      </c>
    </row>
    <row r="49" spans="1:13" x14ac:dyDescent="0.15">
      <c r="A49" s="1">
        <v>48</v>
      </c>
      <c r="B49" s="1" t="s">
        <v>85</v>
      </c>
      <c r="C49" s="1">
        <v>1</v>
      </c>
      <c r="D49" s="4" t="s">
        <v>14</v>
      </c>
      <c r="E49" s="4" t="s">
        <v>29</v>
      </c>
      <c r="F49" s="4" t="s">
        <v>234</v>
      </c>
      <c r="G49" s="7" t="s">
        <v>235</v>
      </c>
      <c r="H49" s="1" t="s">
        <v>266</v>
      </c>
      <c r="I49" s="1">
        <v>1.7</v>
      </c>
      <c r="J49" s="5">
        <f t="shared" si="0"/>
        <v>3.7934574017048242</v>
      </c>
      <c r="K49" s="6" t="s">
        <v>18</v>
      </c>
      <c r="L49" s="6" t="s">
        <v>18</v>
      </c>
      <c r="M49" s="5">
        <v>10</v>
      </c>
    </row>
    <row r="50" spans="1:13" x14ac:dyDescent="0.15">
      <c r="A50" s="1">
        <v>49</v>
      </c>
      <c r="B50" s="1" t="s">
        <v>86</v>
      </c>
      <c r="C50" s="1">
        <v>1</v>
      </c>
      <c r="D50" s="4" t="s">
        <v>7</v>
      </c>
      <c r="E50" s="4" t="s">
        <v>22</v>
      </c>
      <c r="F50" s="4" t="s">
        <v>236</v>
      </c>
      <c r="G50" s="7" t="s">
        <v>237</v>
      </c>
      <c r="H50" s="1" t="s">
        <v>267</v>
      </c>
      <c r="I50" s="1">
        <v>2.38</v>
      </c>
      <c r="J50" s="5">
        <f t="shared" si="0"/>
        <v>5.3108403623867542</v>
      </c>
      <c r="K50" s="6">
        <f t="shared" si="1"/>
        <v>7.5317647058823525</v>
      </c>
      <c r="L50" s="6">
        <f t="shared" si="2"/>
        <v>2.4682352941176475</v>
      </c>
      <c r="M50" s="5">
        <v>10</v>
      </c>
    </row>
    <row r="51" spans="1:13" x14ac:dyDescent="0.15">
      <c r="A51" s="1">
        <v>50</v>
      </c>
      <c r="B51" s="1" t="s">
        <v>87</v>
      </c>
      <c r="C51" s="1">
        <v>1</v>
      </c>
      <c r="D51" s="4" t="s">
        <v>8</v>
      </c>
      <c r="E51" s="4" t="s">
        <v>23</v>
      </c>
      <c r="F51" s="4" t="s">
        <v>236</v>
      </c>
      <c r="G51" s="7" t="s">
        <v>237</v>
      </c>
      <c r="H51" s="1" t="s">
        <v>267</v>
      </c>
      <c r="I51" s="1">
        <v>5.71</v>
      </c>
      <c r="J51" s="5">
        <f t="shared" si="0"/>
        <v>12.741553978667381</v>
      </c>
      <c r="K51" s="6">
        <f t="shared" si="1"/>
        <v>3.1393345008756564</v>
      </c>
      <c r="L51" s="6">
        <f t="shared" si="2"/>
        <v>6.8606654991243436</v>
      </c>
      <c r="M51" s="5">
        <v>10</v>
      </c>
    </row>
    <row r="52" spans="1:13" x14ac:dyDescent="0.15">
      <c r="A52" s="1">
        <v>51</v>
      </c>
      <c r="B52" s="1" t="s">
        <v>88</v>
      </c>
      <c r="C52" s="1">
        <v>1</v>
      </c>
      <c r="D52" s="4" t="s">
        <v>9</v>
      </c>
      <c r="E52" s="4" t="s">
        <v>24</v>
      </c>
      <c r="F52" s="4" t="s">
        <v>236</v>
      </c>
      <c r="G52" s="7" t="s">
        <v>237</v>
      </c>
      <c r="H52" s="1" t="s">
        <v>267</v>
      </c>
      <c r="I52" s="1">
        <v>2.02</v>
      </c>
      <c r="J52" s="5">
        <f t="shared" si="0"/>
        <v>4.5075199714374969</v>
      </c>
      <c r="K52" s="6">
        <f t="shared" si="1"/>
        <v>8.8740594059405939</v>
      </c>
      <c r="L52" s="6">
        <f t="shared" si="2"/>
        <v>1.1259405940594061</v>
      </c>
      <c r="M52" s="5">
        <v>10</v>
      </c>
    </row>
    <row r="53" spans="1:13" x14ac:dyDescent="0.15">
      <c r="A53" s="1">
        <v>52</v>
      </c>
      <c r="B53" s="1" t="s">
        <v>89</v>
      </c>
      <c r="C53" s="1">
        <v>1</v>
      </c>
      <c r="D53" s="4" t="s">
        <v>10</v>
      </c>
      <c r="E53" s="4" t="s">
        <v>25</v>
      </c>
      <c r="F53" s="4" t="s">
        <v>236</v>
      </c>
      <c r="G53" s="7" t="s">
        <v>237</v>
      </c>
      <c r="H53" s="1" t="s">
        <v>267</v>
      </c>
      <c r="I53" s="1">
        <v>3.27</v>
      </c>
      <c r="J53" s="5">
        <f t="shared" si="0"/>
        <v>7.2968268844557498</v>
      </c>
      <c r="K53" s="6">
        <f t="shared" si="1"/>
        <v>5.4818348623853215</v>
      </c>
      <c r="L53" s="6">
        <f t="shared" si="2"/>
        <v>4.5181651376146785</v>
      </c>
      <c r="M53" s="5">
        <v>10</v>
      </c>
    </row>
    <row r="54" spans="1:13" x14ac:dyDescent="0.15">
      <c r="A54" s="1">
        <v>53</v>
      </c>
      <c r="B54" s="1" t="s">
        <v>90</v>
      </c>
      <c r="C54" s="1">
        <v>1</v>
      </c>
      <c r="D54" s="4" t="s">
        <v>11</v>
      </c>
      <c r="E54" s="4" t="s">
        <v>26</v>
      </c>
      <c r="F54" s="4" t="s">
        <v>236</v>
      </c>
      <c r="G54" s="7" t="s">
        <v>237</v>
      </c>
      <c r="H54" s="1" t="s">
        <v>267</v>
      </c>
      <c r="I54" s="1">
        <v>6.08</v>
      </c>
      <c r="J54" s="5">
        <f t="shared" si="0"/>
        <v>13.567188824920784</v>
      </c>
      <c r="K54" s="6">
        <f t="shared" si="1"/>
        <v>2.9482894736842105</v>
      </c>
      <c r="L54" s="6">
        <f t="shared" si="2"/>
        <v>7.0517105263157891</v>
      </c>
      <c r="M54" s="5">
        <v>10</v>
      </c>
    </row>
    <row r="55" spans="1:13" x14ac:dyDescent="0.15">
      <c r="A55" s="1">
        <v>54</v>
      </c>
      <c r="B55" s="1" t="s">
        <v>91</v>
      </c>
      <c r="C55" s="1">
        <v>1</v>
      </c>
      <c r="D55" s="4" t="s">
        <v>12</v>
      </c>
      <c r="E55" s="4" t="s">
        <v>27</v>
      </c>
      <c r="F55" s="4" t="s">
        <v>236</v>
      </c>
      <c r="G55" s="7" t="s">
        <v>237</v>
      </c>
      <c r="H55" s="1" t="s">
        <v>267</v>
      </c>
      <c r="I55" s="1">
        <v>7.12</v>
      </c>
      <c r="J55" s="5">
        <f t="shared" si="0"/>
        <v>15.887892176551972</v>
      </c>
      <c r="K55" s="6">
        <f t="shared" si="1"/>
        <v>2.5176404494382019</v>
      </c>
      <c r="L55" s="6">
        <f t="shared" si="2"/>
        <v>7.4823595505617977</v>
      </c>
      <c r="M55" s="5">
        <v>10</v>
      </c>
    </row>
    <row r="56" spans="1:13" x14ac:dyDescent="0.15">
      <c r="A56" s="1">
        <v>55</v>
      </c>
      <c r="B56" s="1" t="s">
        <v>92</v>
      </c>
      <c r="C56" s="1">
        <v>1</v>
      </c>
      <c r="D56" s="4" t="s">
        <v>13</v>
      </c>
      <c r="E56" s="4" t="s">
        <v>28</v>
      </c>
      <c r="F56" s="4" t="s">
        <v>236</v>
      </c>
      <c r="G56" s="7" t="s">
        <v>237</v>
      </c>
      <c r="H56" s="1" t="s">
        <v>267</v>
      </c>
      <c r="I56" s="1">
        <v>3.56</v>
      </c>
      <c r="J56" s="5">
        <f t="shared" si="0"/>
        <v>7.943946088275986</v>
      </c>
      <c r="K56" s="6">
        <f t="shared" si="1"/>
        <v>5.0352808988764037</v>
      </c>
      <c r="L56" s="6">
        <f t="shared" si="2"/>
        <v>4.9647191011235963</v>
      </c>
      <c r="M56" s="5">
        <v>10</v>
      </c>
    </row>
    <row r="57" spans="1:13" x14ac:dyDescent="0.15">
      <c r="A57" s="1">
        <v>56</v>
      </c>
      <c r="B57" s="1" t="s">
        <v>93</v>
      </c>
      <c r="C57" s="1">
        <v>1</v>
      </c>
      <c r="D57" s="4" t="s">
        <v>14</v>
      </c>
      <c r="E57" s="4" t="s">
        <v>29</v>
      </c>
      <c r="F57" s="4" t="s">
        <v>236</v>
      </c>
      <c r="G57" s="7" t="s">
        <v>237</v>
      </c>
      <c r="H57" s="1" t="s">
        <v>267</v>
      </c>
      <c r="I57" s="1">
        <v>4.07</v>
      </c>
      <c r="J57" s="5">
        <f t="shared" si="0"/>
        <v>9.081983308787434</v>
      </c>
      <c r="K57" s="6">
        <f t="shared" si="1"/>
        <v>4.4043243243243237</v>
      </c>
      <c r="L57" s="6">
        <f t="shared" si="2"/>
        <v>5.5956756756756763</v>
      </c>
      <c r="M57" s="5">
        <v>10</v>
      </c>
    </row>
    <row r="58" spans="1:13" x14ac:dyDescent="0.15">
      <c r="A58" s="1">
        <v>57</v>
      </c>
      <c r="B58" s="1" t="s">
        <v>94</v>
      </c>
      <c r="C58" s="1">
        <v>1</v>
      </c>
      <c r="D58" s="4" t="s">
        <v>7</v>
      </c>
      <c r="E58" s="4" t="s">
        <v>22</v>
      </c>
      <c r="F58" s="4" t="s">
        <v>238</v>
      </c>
      <c r="G58" s="7" t="s">
        <v>239</v>
      </c>
      <c r="H58" s="7" t="s">
        <v>268</v>
      </c>
      <c r="I58" s="1">
        <v>2.77</v>
      </c>
      <c r="J58" s="5">
        <f t="shared" si="0"/>
        <v>6.1811041192484497</v>
      </c>
      <c r="K58" s="6">
        <f t="shared" si="1"/>
        <v>6.4713357400722016</v>
      </c>
      <c r="L58" s="6">
        <f t="shared" si="2"/>
        <v>3.5286642599277984</v>
      </c>
      <c r="M58" s="5">
        <v>10</v>
      </c>
    </row>
    <row r="59" spans="1:13" x14ac:dyDescent="0.15">
      <c r="A59" s="1">
        <v>58</v>
      </c>
      <c r="B59" s="1" t="s">
        <v>95</v>
      </c>
      <c r="C59" s="1">
        <v>1</v>
      </c>
      <c r="D59" s="4" t="s">
        <v>8</v>
      </c>
      <c r="E59" s="4" t="s">
        <v>23</v>
      </c>
      <c r="F59" s="4" t="s">
        <v>238</v>
      </c>
      <c r="G59" s="7" t="s">
        <v>239</v>
      </c>
      <c r="H59" s="7" t="s">
        <v>268</v>
      </c>
      <c r="I59" s="1">
        <v>3.68</v>
      </c>
      <c r="J59" s="5">
        <f t="shared" si="0"/>
        <v>8.2117195519257375</v>
      </c>
      <c r="K59" s="6">
        <f t="shared" si="1"/>
        <v>4.8710869565217392</v>
      </c>
      <c r="L59" s="6">
        <f t="shared" si="2"/>
        <v>5.1289130434782608</v>
      </c>
      <c r="M59" s="5">
        <v>10</v>
      </c>
    </row>
    <row r="60" spans="1:13" x14ac:dyDescent="0.15">
      <c r="A60" s="1">
        <v>59</v>
      </c>
      <c r="B60" s="1" t="s">
        <v>96</v>
      </c>
      <c r="C60" s="1">
        <v>1</v>
      </c>
      <c r="D60" s="4" t="s">
        <v>9</v>
      </c>
      <c r="E60" s="4" t="s">
        <v>24</v>
      </c>
      <c r="F60" s="4" t="s">
        <v>238</v>
      </c>
      <c r="G60" s="7" t="s">
        <v>239</v>
      </c>
      <c r="H60" s="7" t="s">
        <v>268</v>
      </c>
      <c r="I60" s="1">
        <v>1.49</v>
      </c>
      <c r="J60" s="5">
        <f t="shared" si="0"/>
        <v>3.3248538403177581</v>
      </c>
      <c r="K60" s="6" t="s">
        <v>18</v>
      </c>
      <c r="L60" s="6" t="s">
        <v>18</v>
      </c>
      <c r="M60" s="5">
        <v>10</v>
      </c>
    </row>
    <row r="61" spans="1:13" x14ac:dyDescent="0.15">
      <c r="A61" s="1">
        <v>60</v>
      </c>
      <c r="B61" s="1" t="s">
        <v>97</v>
      </c>
      <c r="C61" s="1">
        <v>1</v>
      </c>
      <c r="D61" s="4" t="s">
        <v>10</v>
      </c>
      <c r="E61" s="4" t="s">
        <v>25</v>
      </c>
      <c r="F61" s="4" t="s">
        <v>238</v>
      </c>
      <c r="G61" s="7" t="s">
        <v>239</v>
      </c>
      <c r="H61" s="7" t="s">
        <v>268</v>
      </c>
      <c r="I61" s="1">
        <v>4.13</v>
      </c>
      <c r="J61" s="5">
        <f t="shared" si="0"/>
        <v>9.2158700406123089</v>
      </c>
      <c r="K61" s="6">
        <f t="shared" si="1"/>
        <v>4.340338983050847</v>
      </c>
      <c r="L61" s="6">
        <f t="shared" si="2"/>
        <v>5.659661016949153</v>
      </c>
      <c r="M61" s="5">
        <v>10</v>
      </c>
    </row>
    <row r="62" spans="1:13" x14ac:dyDescent="0.15">
      <c r="A62" s="1">
        <v>61</v>
      </c>
      <c r="B62" s="1" t="s">
        <v>98</v>
      </c>
      <c r="C62" s="1">
        <v>1</v>
      </c>
      <c r="D62" s="4" t="s">
        <v>11</v>
      </c>
      <c r="E62" s="4" t="s">
        <v>26</v>
      </c>
      <c r="F62" s="4" t="s">
        <v>238</v>
      </c>
      <c r="G62" s="7" t="s">
        <v>239</v>
      </c>
      <c r="H62" s="7" t="s">
        <v>268</v>
      </c>
      <c r="I62" s="1">
        <v>2.99</v>
      </c>
      <c r="J62" s="5">
        <f t="shared" si="0"/>
        <v>6.6720221359396623</v>
      </c>
      <c r="K62" s="6">
        <f t="shared" si="1"/>
        <v>5.9951839464882939</v>
      </c>
      <c r="L62" s="6">
        <f t="shared" si="2"/>
        <v>4.0048160535117061</v>
      </c>
      <c r="M62" s="5">
        <v>10</v>
      </c>
    </row>
    <row r="63" spans="1:13" x14ac:dyDescent="0.15">
      <c r="A63" s="1">
        <v>62</v>
      </c>
      <c r="B63" s="1" t="s">
        <v>99</v>
      </c>
      <c r="C63" s="1">
        <v>1</v>
      </c>
      <c r="D63" s="4" t="s">
        <v>12</v>
      </c>
      <c r="E63" s="4" t="s">
        <v>27</v>
      </c>
      <c r="F63" s="4" t="s">
        <v>238</v>
      </c>
      <c r="G63" s="7" t="s">
        <v>239</v>
      </c>
      <c r="H63" s="7" t="s">
        <v>268</v>
      </c>
      <c r="I63" s="1">
        <v>6.61</v>
      </c>
      <c r="J63" s="5">
        <f t="shared" si="0"/>
        <v>14.749854956040524</v>
      </c>
      <c r="K63" s="6">
        <f t="shared" si="1"/>
        <v>2.7118910741301057</v>
      </c>
      <c r="L63" s="6">
        <f t="shared" si="2"/>
        <v>7.2881089258698939</v>
      </c>
      <c r="M63" s="5">
        <v>10</v>
      </c>
    </row>
    <row r="64" spans="1:13" x14ac:dyDescent="0.15">
      <c r="A64" s="1">
        <v>63</v>
      </c>
      <c r="B64" s="1" t="s">
        <v>100</v>
      </c>
      <c r="C64" s="1">
        <v>1</v>
      </c>
      <c r="D64" s="4" t="s">
        <v>13</v>
      </c>
      <c r="E64" s="4" t="s">
        <v>28</v>
      </c>
      <c r="F64" s="4" t="s">
        <v>238</v>
      </c>
      <c r="G64" s="7" t="s">
        <v>239</v>
      </c>
      <c r="H64" s="7" t="s">
        <v>268</v>
      </c>
      <c r="I64" s="1">
        <v>4.3600000000000003</v>
      </c>
      <c r="J64" s="5">
        <f t="shared" si="0"/>
        <v>9.7291025126076693</v>
      </c>
      <c r="K64" s="6">
        <f t="shared" si="1"/>
        <v>4.1113761467889898</v>
      </c>
      <c r="L64" s="6">
        <f t="shared" si="2"/>
        <v>5.8886238532110102</v>
      </c>
      <c r="M64" s="5">
        <v>10</v>
      </c>
    </row>
    <row r="65" spans="1:13" x14ac:dyDescent="0.15">
      <c r="A65" s="1">
        <v>64</v>
      </c>
      <c r="B65" s="1" t="s">
        <v>101</v>
      </c>
      <c r="C65" s="1">
        <v>1</v>
      </c>
      <c r="D65" s="4" t="s">
        <v>14</v>
      </c>
      <c r="E65" s="4" t="s">
        <v>29</v>
      </c>
      <c r="F65" s="4" t="s">
        <v>238</v>
      </c>
      <c r="G65" s="7" t="s">
        <v>239</v>
      </c>
      <c r="H65" s="7" t="s">
        <v>268</v>
      </c>
      <c r="I65" s="1">
        <v>13.8</v>
      </c>
      <c r="J65" s="5">
        <f t="shared" si="0"/>
        <v>30.793948319721519</v>
      </c>
      <c r="K65" s="6">
        <f t="shared" si="1"/>
        <v>1.2989565217391303</v>
      </c>
      <c r="L65" s="6">
        <f t="shared" si="2"/>
        <v>8.7010434782608694</v>
      </c>
      <c r="M65" s="5">
        <v>10</v>
      </c>
    </row>
    <row r="66" spans="1:13" x14ac:dyDescent="0.15">
      <c r="A66" s="1">
        <v>65</v>
      </c>
      <c r="B66" s="1" t="s">
        <v>102</v>
      </c>
      <c r="C66" s="1">
        <v>1</v>
      </c>
      <c r="D66" s="4" t="s">
        <v>7</v>
      </c>
      <c r="E66" s="4" t="s">
        <v>22</v>
      </c>
      <c r="F66" s="4" t="s">
        <v>240</v>
      </c>
      <c r="G66" s="7" t="s">
        <v>241</v>
      </c>
      <c r="H66" s="7" t="s">
        <v>241</v>
      </c>
      <c r="I66" s="1">
        <v>6.49</v>
      </c>
      <c r="J66" s="5">
        <f t="shared" si="0"/>
        <v>14.482081492390773</v>
      </c>
      <c r="K66" s="6">
        <f t="shared" si="1"/>
        <v>2.7620338983050843</v>
      </c>
      <c r="L66" s="6">
        <f t="shared" si="2"/>
        <v>7.2379661016949157</v>
      </c>
      <c r="M66" s="5">
        <v>10</v>
      </c>
    </row>
    <row r="67" spans="1:13" x14ac:dyDescent="0.15">
      <c r="A67" s="1">
        <v>66</v>
      </c>
      <c r="B67" s="1" t="s">
        <v>103</v>
      </c>
      <c r="C67" s="1">
        <v>1</v>
      </c>
      <c r="D67" s="4" t="s">
        <v>8</v>
      </c>
      <c r="E67" s="4" t="s">
        <v>23</v>
      </c>
      <c r="F67" s="4" t="s">
        <v>240</v>
      </c>
      <c r="G67" s="7" t="s">
        <v>241</v>
      </c>
      <c r="H67" s="7" t="s">
        <v>241</v>
      </c>
      <c r="I67" s="1">
        <v>3.25</v>
      </c>
      <c r="J67" s="5">
        <f t="shared" ref="J67:J130" si="3">((I67)/(660*679))*10^6</f>
        <v>7.2521979738474585</v>
      </c>
      <c r="K67" s="6">
        <f t="shared" ref="K67:K130" si="4">(4*M67)/J67</f>
        <v>5.5155692307692306</v>
      </c>
      <c r="L67" s="6">
        <f t="shared" ref="L67:L130" si="5">M67-K67</f>
        <v>4.4844307692307694</v>
      </c>
      <c r="M67" s="5">
        <v>10</v>
      </c>
    </row>
    <row r="68" spans="1:13" x14ac:dyDescent="0.15">
      <c r="A68" s="1">
        <v>67</v>
      </c>
      <c r="B68" s="1" t="s">
        <v>104</v>
      </c>
      <c r="C68" s="1">
        <v>1</v>
      </c>
      <c r="D68" s="4" t="s">
        <v>9</v>
      </c>
      <c r="E68" s="4" t="s">
        <v>24</v>
      </c>
      <c r="F68" s="4" t="s">
        <v>240</v>
      </c>
      <c r="G68" s="7" t="s">
        <v>241</v>
      </c>
      <c r="H68" s="7" t="s">
        <v>241</v>
      </c>
      <c r="I68" s="1">
        <v>2.42</v>
      </c>
      <c r="J68" s="5">
        <f t="shared" si="3"/>
        <v>5.4000981836033386</v>
      </c>
      <c r="K68" s="6">
        <f t="shared" si="4"/>
        <v>7.4072727272727263</v>
      </c>
      <c r="L68" s="6">
        <f t="shared" si="5"/>
        <v>2.5927272727272737</v>
      </c>
      <c r="M68" s="5">
        <v>10</v>
      </c>
    </row>
    <row r="69" spans="1:13" x14ac:dyDescent="0.15">
      <c r="A69" s="1">
        <v>68</v>
      </c>
      <c r="B69" s="1" t="s">
        <v>105</v>
      </c>
      <c r="C69" s="1">
        <v>1</v>
      </c>
      <c r="D69" s="4" t="s">
        <v>10</v>
      </c>
      <c r="E69" s="4" t="s">
        <v>25</v>
      </c>
      <c r="F69" s="4" t="s">
        <v>240</v>
      </c>
      <c r="G69" s="7" t="s">
        <v>241</v>
      </c>
      <c r="H69" s="7" t="s">
        <v>241</v>
      </c>
      <c r="I69" s="1">
        <v>2.44</v>
      </c>
      <c r="J69" s="5">
        <f t="shared" si="3"/>
        <v>5.4447270942116299</v>
      </c>
      <c r="K69" s="6">
        <f t="shared" si="4"/>
        <v>7.346557377049181</v>
      </c>
      <c r="L69" s="6">
        <f t="shared" si="5"/>
        <v>2.653442622950819</v>
      </c>
      <c r="M69" s="5">
        <v>10</v>
      </c>
    </row>
    <row r="70" spans="1:13" x14ac:dyDescent="0.15">
      <c r="A70" s="1">
        <v>69</v>
      </c>
      <c r="B70" s="1" t="s">
        <v>106</v>
      </c>
      <c r="C70" s="1">
        <v>1</v>
      </c>
      <c r="D70" s="4" t="s">
        <v>11</v>
      </c>
      <c r="E70" s="4" t="s">
        <v>26</v>
      </c>
      <c r="F70" s="4" t="s">
        <v>240</v>
      </c>
      <c r="G70" s="7" t="s">
        <v>241</v>
      </c>
      <c r="H70" s="7" t="s">
        <v>241</v>
      </c>
      <c r="I70" s="1">
        <v>2.15</v>
      </c>
      <c r="J70" s="5">
        <f t="shared" si="3"/>
        <v>4.7976078903913955</v>
      </c>
      <c r="K70" s="6">
        <f t="shared" si="4"/>
        <v>8.3374883720930235</v>
      </c>
      <c r="L70" s="6">
        <f t="shared" si="5"/>
        <v>1.6625116279069765</v>
      </c>
      <c r="M70" s="5">
        <v>10</v>
      </c>
    </row>
    <row r="71" spans="1:13" x14ac:dyDescent="0.15">
      <c r="A71" s="1">
        <v>70</v>
      </c>
      <c r="B71" s="1" t="s">
        <v>107</v>
      </c>
      <c r="C71" s="1">
        <v>1</v>
      </c>
      <c r="D71" s="4" t="s">
        <v>12</v>
      </c>
      <c r="E71" s="4" t="s">
        <v>27</v>
      </c>
      <c r="F71" s="4" t="s">
        <v>240</v>
      </c>
      <c r="G71" s="7" t="s">
        <v>241</v>
      </c>
      <c r="H71" s="7" t="s">
        <v>241</v>
      </c>
      <c r="I71" s="1">
        <v>2.48</v>
      </c>
      <c r="J71" s="5">
        <f t="shared" si="3"/>
        <v>5.5339849154282144</v>
      </c>
      <c r="K71" s="6">
        <f t="shared" si="4"/>
        <v>7.2280645161290327</v>
      </c>
      <c r="L71" s="6">
        <f t="shared" si="5"/>
        <v>2.7719354838709673</v>
      </c>
      <c r="M71" s="5">
        <v>10</v>
      </c>
    </row>
    <row r="72" spans="1:13" x14ac:dyDescent="0.15">
      <c r="A72" s="1">
        <v>71</v>
      </c>
      <c r="B72" s="1" t="s">
        <v>108</v>
      </c>
      <c r="C72" s="1">
        <v>1</v>
      </c>
      <c r="D72" s="4" t="s">
        <v>13</v>
      </c>
      <c r="E72" s="4" t="s">
        <v>28</v>
      </c>
      <c r="F72" s="4" t="s">
        <v>240</v>
      </c>
      <c r="G72" s="7" t="s">
        <v>241</v>
      </c>
      <c r="H72" s="7" t="s">
        <v>241</v>
      </c>
      <c r="I72" s="1">
        <v>12.7</v>
      </c>
      <c r="J72" s="5">
        <f t="shared" si="3"/>
        <v>28.339358236265451</v>
      </c>
      <c r="K72" s="6">
        <f t="shared" si="4"/>
        <v>1.4114645669291339</v>
      </c>
      <c r="L72" s="6">
        <f t="shared" si="5"/>
        <v>8.5885354330708665</v>
      </c>
      <c r="M72" s="5">
        <v>10</v>
      </c>
    </row>
    <row r="73" spans="1:13" x14ac:dyDescent="0.15">
      <c r="A73" s="1">
        <v>72</v>
      </c>
      <c r="B73" s="1" t="s">
        <v>109</v>
      </c>
      <c r="C73" s="1">
        <v>1</v>
      </c>
      <c r="D73" s="4" t="s">
        <v>14</v>
      </c>
      <c r="E73" s="4" t="s">
        <v>29</v>
      </c>
      <c r="F73" s="4" t="s">
        <v>240</v>
      </c>
      <c r="G73" s="7" t="s">
        <v>241</v>
      </c>
      <c r="H73" s="7" t="s">
        <v>241</v>
      </c>
      <c r="I73" s="1">
        <v>1.96</v>
      </c>
      <c r="J73" s="5">
        <f t="shared" si="3"/>
        <v>4.3736332396126203</v>
      </c>
      <c r="K73" s="6">
        <f t="shared" si="4"/>
        <v>9.1457142857142877</v>
      </c>
      <c r="L73" s="6">
        <f t="shared" si="5"/>
        <v>0.85428571428571232</v>
      </c>
      <c r="M73" s="5">
        <v>10</v>
      </c>
    </row>
    <row r="74" spans="1:13" x14ac:dyDescent="0.15">
      <c r="A74" s="1">
        <v>73</v>
      </c>
      <c r="B74" s="1" t="s">
        <v>110</v>
      </c>
      <c r="C74" s="1">
        <v>1</v>
      </c>
      <c r="D74" s="4" t="s">
        <v>7</v>
      </c>
      <c r="E74" s="4" t="s">
        <v>22</v>
      </c>
      <c r="F74" s="4" t="s">
        <v>242</v>
      </c>
      <c r="G74" s="7" t="s">
        <v>243</v>
      </c>
      <c r="H74" s="7" t="s">
        <v>269</v>
      </c>
      <c r="I74" s="1">
        <v>15</v>
      </c>
      <c r="J74" s="5">
        <f t="shared" si="3"/>
        <v>33.471682956219034</v>
      </c>
      <c r="K74" s="6">
        <f t="shared" si="4"/>
        <v>1.1950400000000001</v>
      </c>
      <c r="L74" s="6">
        <f t="shared" si="5"/>
        <v>8.8049599999999995</v>
      </c>
      <c r="M74" s="5">
        <v>10</v>
      </c>
    </row>
    <row r="75" spans="1:13" x14ac:dyDescent="0.15">
      <c r="A75" s="1">
        <v>74</v>
      </c>
      <c r="B75" s="1" t="s">
        <v>111</v>
      </c>
      <c r="C75" s="1">
        <v>1</v>
      </c>
      <c r="D75" s="4" t="s">
        <v>8</v>
      </c>
      <c r="E75" s="4" t="s">
        <v>23</v>
      </c>
      <c r="F75" s="4" t="s">
        <v>242</v>
      </c>
      <c r="G75" s="7" t="s">
        <v>243</v>
      </c>
      <c r="H75" s="7" t="s">
        <v>269</v>
      </c>
      <c r="I75" s="1">
        <v>15.6</v>
      </c>
      <c r="J75" s="5">
        <f t="shared" si="3"/>
        <v>34.810550274467801</v>
      </c>
      <c r="K75" s="6">
        <f t="shared" si="4"/>
        <v>1.1490769230769231</v>
      </c>
      <c r="L75" s="6">
        <f t="shared" si="5"/>
        <v>8.8509230769230776</v>
      </c>
      <c r="M75" s="5">
        <v>10</v>
      </c>
    </row>
    <row r="76" spans="1:13" x14ac:dyDescent="0.15">
      <c r="A76" s="1">
        <v>75</v>
      </c>
      <c r="B76" s="1" t="s">
        <v>112</v>
      </c>
      <c r="C76" s="1">
        <v>1</v>
      </c>
      <c r="D76" s="4" t="s">
        <v>9</v>
      </c>
      <c r="E76" s="4" t="s">
        <v>24</v>
      </c>
      <c r="F76" s="4" t="s">
        <v>242</v>
      </c>
      <c r="G76" s="7" t="s">
        <v>243</v>
      </c>
      <c r="H76" s="7" t="s">
        <v>269</v>
      </c>
      <c r="I76" s="1">
        <v>15.8</v>
      </c>
      <c r="J76" s="5">
        <f t="shared" si="3"/>
        <v>35.256839380550723</v>
      </c>
      <c r="K76" s="6">
        <f t="shared" si="4"/>
        <v>1.1345316455696202</v>
      </c>
      <c r="L76" s="6">
        <f t="shared" si="5"/>
        <v>8.8654683544303801</v>
      </c>
      <c r="M76" s="5">
        <v>10</v>
      </c>
    </row>
    <row r="77" spans="1:13" x14ac:dyDescent="0.15">
      <c r="A77" s="1">
        <v>76</v>
      </c>
      <c r="B77" s="1" t="s">
        <v>113</v>
      </c>
      <c r="C77" s="1">
        <v>1</v>
      </c>
      <c r="D77" s="4" t="s">
        <v>10</v>
      </c>
      <c r="E77" s="4" t="s">
        <v>25</v>
      </c>
      <c r="F77" s="4" t="s">
        <v>242</v>
      </c>
      <c r="G77" s="7" t="s">
        <v>243</v>
      </c>
      <c r="H77" s="7" t="s">
        <v>269</v>
      </c>
      <c r="I77" s="1">
        <v>9.27</v>
      </c>
      <c r="J77" s="5">
        <f t="shared" si="3"/>
        <v>20.685500066943366</v>
      </c>
      <c r="K77" s="6">
        <f t="shared" si="4"/>
        <v>1.9337216828478965</v>
      </c>
      <c r="L77" s="6">
        <f t="shared" si="5"/>
        <v>8.0662783171521042</v>
      </c>
      <c r="M77" s="5">
        <v>10</v>
      </c>
    </row>
    <row r="78" spans="1:13" x14ac:dyDescent="0.15">
      <c r="A78" s="1">
        <v>77</v>
      </c>
      <c r="B78" s="1" t="s">
        <v>114</v>
      </c>
      <c r="C78" s="1">
        <v>1</v>
      </c>
      <c r="D78" s="4" t="s">
        <v>11</v>
      </c>
      <c r="E78" s="4" t="s">
        <v>26</v>
      </c>
      <c r="F78" s="4" t="s">
        <v>242</v>
      </c>
      <c r="G78" s="7" t="s">
        <v>243</v>
      </c>
      <c r="H78" s="7" t="s">
        <v>269</v>
      </c>
      <c r="I78" s="1">
        <v>18.3</v>
      </c>
      <c r="J78" s="5">
        <f t="shared" si="3"/>
        <v>40.835453206587225</v>
      </c>
      <c r="K78" s="6">
        <f t="shared" si="4"/>
        <v>0.97954098360655739</v>
      </c>
      <c r="L78" s="6">
        <f t="shared" si="5"/>
        <v>9.0204590163934419</v>
      </c>
      <c r="M78" s="5">
        <v>10</v>
      </c>
    </row>
    <row r="79" spans="1:13" x14ac:dyDescent="0.15">
      <c r="A79" s="1">
        <v>78</v>
      </c>
      <c r="B79" s="1" t="s">
        <v>115</v>
      </c>
      <c r="C79" s="1">
        <v>1</v>
      </c>
      <c r="D79" s="4" t="s">
        <v>12</v>
      </c>
      <c r="E79" s="4" t="s">
        <v>27</v>
      </c>
      <c r="F79" s="4" t="s">
        <v>242</v>
      </c>
      <c r="G79" s="7" t="s">
        <v>243</v>
      </c>
      <c r="H79" s="7" t="s">
        <v>269</v>
      </c>
      <c r="I79" s="1">
        <v>15.5</v>
      </c>
      <c r="J79" s="5">
        <f t="shared" si="3"/>
        <v>34.587405721426336</v>
      </c>
      <c r="K79" s="6">
        <f t="shared" si="4"/>
        <v>1.1564903225806453</v>
      </c>
      <c r="L79" s="6">
        <f t="shared" si="5"/>
        <v>8.8435096774193553</v>
      </c>
      <c r="M79" s="5">
        <v>10</v>
      </c>
    </row>
    <row r="80" spans="1:13" x14ac:dyDescent="0.15">
      <c r="A80" s="1">
        <v>79</v>
      </c>
      <c r="B80" s="1" t="s">
        <v>116</v>
      </c>
      <c r="C80" s="1">
        <v>1</v>
      </c>
      <c r="D80" s="4" t="s">
        <v>13</v>
      </c>
      <c r="E80" s="4" t="s">
        <v>28</v>
      </c>
      <c r="F80" s="4" t="s">
        <v>242</v>
      </c>
      <c r="G80" s="7" t="s">
        <v>243</v>
      </c>
      <c r="H80" s="7" t="s">
        <v>269</v>
      </c>
      <c r="I80" s="1">
        <v>25.9</v>
      </c>
      <c r="J80" s="5">
        <f t="shared" si="3"/>
        <v>57.794439237738203</v>
      </c>
      <c r="K80" s="6">
        <f t="shared" si="4"/>
        <v>0.69210810810810819</v>
      </c>
      <c r="L80" s="6">
        <f t="shared" si="5"/>
        <v>9.3078918918918916</v>
      </c>
      <c r="M80" s="5">
        <v>10</v>
      </c>
    </row>
    <row r="81" spans="1:13" x14ac:dyDescent="0.15">
      <c r="A81" s="1">
        <v>80</v>
      </c>
      <c r="B81" s="1" t="s">
        <v>117</v>
      </c>
      <c r="C81" s="1">
        <v>1</v>
      </c>
      <c r="D81" s="4" t="s">
        <v>14</v>
      </c>
      <c r="E81" s="4" t="s">
        <v>29</v>
      </c>
      <c r="F81" s="4" t="s">
        <v>242</v>
      </c>
      <c r="G81" s="7" t="s">
        <v>243</v>
      </c>
      <c r="H81" s="7" t="s">
        <v>269</v>
      </c>
      <c r="I81" s="1">
        <v>21.4</v>
      </c>
      <c r="J81" s="5">
        <f t="shared" si="3"/>
        <v>47.752934350872486</v>
      </c>
      <c r="K81" s="6">
        <f t="shared" si="4"/>
        <v>0.83764485981308423</v>
      </c>
      <c r="L81" s="6">
        <f t="shared" si="5"/>
        <v>9.1623551401869161</v>
      </c>
      <c r="M81" s="5">
        <v>10</v>
      </c>
    </row>
    <row r="82" spans="1:13" x14ac:dyDescent="0.15">
      <c r="A82" s="1">
        <v>81</v>
      </c>
      <c r="B82" s="1" t="s">
        <v>118</v>
      </c>
      <c r="C82" s="1">
        <v>1</v>
      </c>
      <c r="D82" s="4" t="s">
        <v>7</v>
      </c>
      <c r="E82" s="4" t="s">
        <v>22</v>
      </c>
      <c r="F82" s="4" t="s">
        <v>244</v>
      </c>
      <c r="G82" s="7" t="s">
        <v>245</v>
      </c>
      <c r="H82" s="7" t="s">
        <v>270</v>
      </c>
      <c r="I82" s="1">
        <v>18</v>
      </c>
      <c r="J82" s="5">
        <f t="shared" si="3"/>
        <v>40.166019547462845</v>
      </c>
      <c r="K82" s="6">
        <f t="shared" si="4"/>
        <v>0.99586666666666668</v>
      </c>
      <c r="L82" s="6">
        <f t="shared" si="5"/>
        <v>9.0041333333333338</v>
      </c>
      <c r="M82" s="5">
        <v>10</v>
      </c>
    </row>
    <row r="83" spans="1:13" x14ac:dyDescent="0.15">
      <c r="A83" s="1">
        <v>82</v>
      </c>
      <c r="B83" s="1" t="s">
        <v>119</v>
      </c>
      <c r="C83" s="1">
        <v>1</v>
      </c>
      <c r="D83" s="4" t="s">
        <v>8</v>
      </c>
      <c r="E83" s="4" t="s">
        <v>23</v>
      </c>
      <c r="F83" s="4" t="s">
        <v>244</v>
      </c>
      <c r="G83" s="7" t="s">
        <v>245</v>
      </c>
      <c r="H83" s="7" t="s">
        <v>270</v>
      </c>
      <c r="I83" s="1">
        <v>11.2</v>
      </c>
      <c r="J83" s="5">
        <f t="shared" si="3"/>
        <v>24.992189940643545</v>
      </c>
      <c r="K83" s="6">
        <f t="shared" si="4"/>
        <v>1.6005000000000003</v>
      </c>
      <c r="L83" s="6">
        <f t="shared" si="5"/>
        <v>8.3994999999999997</v>
      </c>
      <c r="M83" s="5">
        <v>10</v>
      </c>
    </row>
    <row r="84" spans="1:13" x14ac:dyDescent="0.15">
      <c r="A84" s="1">
        <v>83</v>
      </c>
      <c r="B84" s="1" t="s">
        <v>120</v>
      </c>
      <c r="C84" s="1">
        <v>1</v>
      </c>
      <c r="D84" s="4" t="s">
        <v>9</v>
      </c>
      <c r="E84" s="4" t="s">
        <v>24</v>
      </c>
      <c r="F84" s="4" t="s">
        <v>244</v>
      </c>
      <c r="G84" s="7" t="s">
        <v>245</v>
      </c>
      <c r="H84" s="7" t="s">
        <v>270</v>
      </c>
      <c r="I84" s="1">
        <v>6.76</v>
      </c>
      <c r="J84" s="5">
        <f t="shared" si="3"/>
        <v>15.084571785602714</v>
      </c>
      <c r="K84" s="6">
        <f t="shared" si="4"/>
        <v>2.6517159763313609</v>
      </c>
      <c r="L84" s="6">
        <f t="shared" si="5"/>
        <v>7.3482840236686391</v>
      </c>
      <c r="M84" s="5">
        <v>10</v>
      </c>
    </row>
    <row r="85" spans="1:13" x14ac:dyDescent="0.15">
      <c r="A85" s="1">
        <v>84</v>
      </c>
      <c r="B85" s="1" t="s">
        <v>121</v>
      </c>
      <c r="C85" s="1">
        <v>1</v>
      </c>
      <c r="D85" s="4" t="s">
        <v>10</v>
      </c>
      <c r="E85" s="4" t="s">
        <v>25</v>
      </c>
      <c r="F85" s="4" t="s">
        <v>244</v>
      </c>
      <c r="G85" s="7" t="s">
        <v>245</v>
      </c>
      <c r="H85" s="7" t="s">
        <v>270</v>
      </c>
      <c r="I85" s="1">
        <v>12.9</v>
      </c>
      <c r="J85" s="5">
        <f t="shared" si="3"/>
        <v>28.785647342348376</v>
      </c>
      <c r="K85" s="6">
        <f t="shared" si="4"/>
        <v>1.389581395348837</v>
      </c>
      <c r="L85" s="6">
        <f t="shared" si="5"/>
        <v>8.6104186046511622</v>
      </c>
      <c r="M85" s="5">
        <v>10</v>
      </c>
    </row>
    <row r="86" spans="1:13" x14ac:dyDescent="0.15">
      <c r="A86" s="1">
        <v>85</v>
      </c>
      <c r="B86" s="1" t="s">
        <v>122</v>
      </c>
      <c r="C86" s="1">
        <v>1</v>
      </c>
      <c r="D86" s="4" t="s">
        <v>11</v>
      </c>
      <c r="E86" s="4" t="s">
        <v>26</v>
      </c>
      <c r="F86" s="4" t="s">
        <v>244</v>
      </c>
      <c r="G86" s="7" t="s">
        <v>245</v>
      </c>
      <c r="H86" s="7" t="s">
        <v>270</v>
      </c>
      <c r="I86" s="1">
        <v>20.8</v>
      </c>
      <c r="J86" s="5">
        <f t="shared" si="3"/>
        <v>46.414067032623734</v>
      </c>
      <c r="K86" s="6">
        <f t="shared" si="4"/>
        <v>0.86180769230769227</v>
      </c>
      <c r="L86" s="6">
        <f t="shared" si="5"/>
        <v>9.1381923076923073</v>
      </c>
      <c r="M86" s="5">
        <v>10</v>
      </c>
    </row>
    <row r="87" spans="1:13" x14ac:dyDescent="0.15">
      <c r="A87" s="1">
        <v>86</v>
      </c>
      <c r="B87" s="1" t="s">
        <v>123</v>
      </c>
      <c r="C87" s="1">
        <v>1</v>
      </c>
      <c r="D87" s="4" t="s">
        <v>12</v>
      </c>
      <c r="E87" s="4" t="s">
        <v>27</v>
      </c>
      <c r="F87" s="4" t="s">
        <v>244</v>
      </c>
      <c r="G87" s="7" t="s">
        <v>245</v>
      </c>
      <c r="H87" s="7" t="s">
        <v>270</v>
      </c>
      <c r="I87" s="1">
        <v>18.3</v>
      </c>
      <c r="J87" s="5">
        <f t="shared" si="3"/>
        <v>40.835453206587225</v>
      </c>
      <c r="K87" s="6">
        <f t="shared" si="4"/>
        <v>0.97954098360655739</v>
      </c>
      <c r="L87" s="6">
        <f t="shared" si="5"/>
        <v>9.0204590163934419</v>
      </c>
      <c r="M87" s="5">
        <v>10</v>
      </c>
    </row>
    <row r="88" spans="1:13" x14ac:dyDescent="0.15">
      <c r="A88" s="1">
        <v>87</v>
      </c>
      <c r="B88" s="1" t="s">
        <v>124</v>
      </c>
      <c r="C88" s="1">
        <v>1</v>
      </c>
      <c r="D88" s="4" t="s">
        <v>13</v>
      </c>
      <c r="E88" s="4" t="s">
        <v>28</v>
      </c>
      <c r="F88" s="4" t="s">
        <v>244</v>
      </c>
      <c r="G88" s="7" t="s">
        <v>245</v>
      </c>
      <c r="H88" s="7" t="s">
        <v>270</v>
      </c>
      <c r="I88" s="1">
        <v>14</v>
      </c>
      <c r="J88" s="5">
        <f t="shared" si="3"/>
        <v>31.240237425804438</v>
      </c>
      <c r="K88" s="6">
        <f t="shared" si="4"/>
        <v>1.2804</v>
      </c>
      <c r="L88" s="6">
        <f t="shared" si="5"/>
        <v>8.7195999999999998</v>
      </c>
      <c r="M88" s="5">
        <v>10</v>
      </c>
    </row>
    <row r="89" spans="1:13" x14ac:dyDescent="0.15">
      <c r="A89" s="1">
        <v>88</v>
      </c>
      <c r="B89" s="1" t="s">
        <v>125</v>
      </c>
      <c r="C89" s="1">
        <v>1</v>
      </c>
      <c r="D89" s="4" t="s">
        <v>14</v>
      </c>
      <c r="E89" s="4" t="s">
        <v>29</v>
      </c>
      <c r="F89" s="4" t="s">
        <v>244</v>
      </c>
      <c r="G89" s="7" t="s">
        <v>245</v>
      </c>
      <c r="H89" s="7" t="s">
        <v>270</v>
      </c>
      <c r="I89" s="1">
        <v>26.2</v>
      </c>
      <c r="J89" s="5">
        <f t="shared" si="3"/>
        <v>58.463872896862583</v>
      </c>
      <c r="K89" s="6">
        <f t="shared" si="4"/>
        <v>0.68418320610687033</v>
      </c>
      <c r="L89" s="6">
        <f t="shared" si="5"/>
        <v>9.3158167938931289</v>
      </c>
      <c r="M89" s="5">
        <v>10</v>
      </c>
    </row>
    <row r="90" spans="1:13" x14ac:dyDescent="0.15">
      <c r="A90" s="1">
        <v>89</v>
      </c>
      <c r="B90" s="1" t="s">
        <v>126</v>
      </c>
      <c r="C90" s="1">
        <v>1</v>
      </c>
      <c r="D90" s="4" t="s">
        <v>7</v>
      </c>
      <c r="E90" s="4" t="s">
        <v>22</v>
      </c>
      <c r="F90" s="4" t="s">
        <v>246</v>
      </c>
      <c r="G90" s="7" t="s">
        <v>247</v>
      </c>
      <c r="H90" s="1" t="s">
        <v>271</v>
      </c>
      <c r="I90" s="1">
        <v>8.1300000000000008</v>
      </c>
      <c r="J90" s="5">
        <f t="shared" si="3"/>
        <v>18.14165216227072</v>
      </c>
      <c r="K90" s="6">
        <f t="shared" si="4"/>
        <v>2.2048708487084872</v>
      </c>
      <c r="L90" s="6">
        <f t="shared" si="5"/>
        <v>7.7951291512915128</v>
      </c>
      <c r="M90" s="5">
        <v>10</v>
      </c>
    </row>
    <row r="91" spans="1:13" x14ac:dyDescent="0.15">
      <c r="A91" s="1">
        <v>90</v>
      </c>
      <c r="B91" s="1" t="s">
        <v>127</v>
      </c>
      <c r="C91" s="1">
        <v>1</v>
      </c>
      <c r="D91" s="4" t="s">
        <v>8</v>
      </c>
      <c r="E91" s="4" t="s">
        <v>23</v>
      </c>
      <c r="F91" s="4" t="s">
        <v>246</v>
      </c>
      <c r="G91" s="7" t="s">
        <v>247</v>
      </c>
      <c r="H91" s="1" t="s">
        <v>271</v>
      </c>
      <c r="I91" s="1">
        <v>17.8</v>
      </c>
      <c r="J91" s="5">
        <f t="shared" si="3"/>
        <v>39.719730441379923</v>
      </c>
      <c r="K91" s="6">
        <f t="shared" si="4"/>
        <v>1.0070561797752811</v>
      </c>
      <c r="L91" s="6">
        <f t="shared" si="5"/>
        <v>8.9929438202247187</v>
      </c>
      <c r="M91" s="5">
        <v>10</v>
      </c>
    </row>
    <row r="92" spans="1:13" x14ac:dyDescent="0.15">
      <c r="A92" s="1">
        <v>91</v>
      </c>
      <c r="B92" s="1" t="s">
        <v>128</v>
      </c>
      <c r="C92" s="1">
        <v>1</v>
      </c>
      <c r="D92" s="4" t="s">
        <v>9</v>
      </c>
      <c r="E92" s="4" t="s">
        <v>24</v>
      </c>
      <c r="F92" s="4" t="s">
        <v>246</v>
      </c>
      <c r="G92" s="7" t="s">
        <v>247</v>
      </c>
      <c r="H92" s="1" t="s">
        <v>271</v>
      </c>
      <c r="I92" s="1">
        <v>13.6</v>
      </c>
      <c r="J92" s="5">
        <f t="shared" si="3"/>
        <v>30.347659213638593</v>
      </c>
      <c r="K92" s="6">
        <f t="shared" si="4"/>
        <v>1.3180588235294119</v>
      </c>
      <c r="L92" s="6">
        <f t="shared" si="5"/>
        <v>8.6819411764705876</v>
      </c>
      <c r="M92" s="5">
        <v>10</v>
      </c>
    </row>
    <row r="93" spans="1:13" x14ac:dyDescent="0.15">
      <c r="A93" s="1">
        <v>92</v>
      </c>
      <c r="B93" s="1" t="s">
        <v>129</v>
      </c>
      <c r="C93" s="1">
        <v>1</v>
      </c>
      <c r="D93" s="4" t="s">
        <v>10</v>
      </c>
      <c r="E93" s="4" t="s">
        <v>25</v>
      </c>
      <c r="F93" s="4" t="s">
        <v>246</v>
      </c>
      <c r="G93" s="7" t="s">
        <v>247</v>
      </c>
      <c r="H93" s="1" t="s">
        <v>271</v>
      </c>
      <c r="I93" s="1">
        <v>6.17</v>
      </c>
      <c r="J93" s="5">
        <f t="shared" si="3"/>
        <v>13.768018922658097</v>
      </c>
      <c r="K93" s="6">
        <f t="shared" si="4"/>
        <v>2.9052836304700165</v>
      </c>
      <c r="L93" s="6">
        <f t="shared" si="5"/>
        <v>7.0947163695299835</v>
      </c>
      <c r="M93" s="5">
        <v>10</v>
      </c>
    </row>
    <row r="94" spans="1:13" x14ac:dyDescent="0.15">
      <c r="A94" s="1">
        <v>93</v>
      </c>
      <c r="B94" s="1" t="s">
        <v>130</v>
      </c>
      <c r="C94" s="1">
        <v>1</v>
      </c>
      <c r="D94" s="4" t="s">
        <v>11</v>
      </c>
      <c r="E94" s="4" t="s">
        <v>26</v>
      </c>
      <c r="F94" s="4" t="s">
        <v>246</v>
      </c>
      <c r="G94" s="7" t="s">
        <v>247</v>
      </c>
      <c r="H94" s="1" t="s">
        <v>271</v>
      </c>
      <c r="I94" s="1">
        <v>29.1</v>
      </c>
      <c r="J94" s="5">
        <f t="shared" si="3"/>
        <v>64.935064935064929</v>
      </c>
      <c r="K94" s="6">
        <f t="shared" si="4"/>
        <v>0.6160000000000001</v>
      </c>
      <c r="L94" s="6">
        <f t="shared" si="5"/>
        <v>9.3840000000000003</v>
      </c>
      <c r="M94" s="5">
        <v>10</v>
      </c>
    </row>
    <row r="95" spans="1:13" x14ac:dyDescent="0.15">
      <c r="A95" s="1">
        <v>94</v>
      </c>
      <c r="B95" s="1" t="s">
        <v>131</v>
      </c>
      <c r="C95" s="1">
        <v>1</v>
      </c>
      <c r="D95" s="4" t="s">
        <v>12</v>
      </c>
      <c r="E95" s="4" t="s">
        <v>27</v>
      </c>
      <c r="F95" s="4" t="s">
        <v>246</v>
      </c>
      <c r="G95" s="7" t="s">
        <v>247</v>
      </c>
      <c r="H95" s="1" t="s">
        <v>271</v>
      </c>
      <c r="I95" s="1">
        <v>8.7200000000000006</v>
      </c>
      <c r="J95" s="5">
        <f t="shared" si="3"/>
        <v>19.458205025215339</v>
      </c>
      <c r="K95" s="6">
        <f t="shared" si="4"/>
        <v>2.0556880733944949</v>
      </c>
      <c r="L95" s="6">
        <f t="shared" si="5"/>
        <v>7.9443119266055051</v>
      </c>
      <c r="M95" s="5">
        <v>10</v>
      </c>
    </row>
    <row r="96" spans="1:13" x14ac:dyDescent="0.15">
      <c r="A96" s="1">
        <v>95</v>
      </c>
      <c r="B96" s="1" t="s">
        <v>132</v>
      </c>
      <c r="C96" s="1">
        <v>1</v>
      </c>
      <c r="D96" s="4" t="s">
        <v>13</v>
      </c>
      <c r="E96" s="4" t="s">
        <v>28</v>
      </c>
      <c r="F96" s="4" t="s">
        <v>246</v>
      </c>
      <c r="G96" s="7" t="s">
        <v>247</v>
      </c>
      <c r="H96" s="1" t="s">
        <v>271</v>
      </c>
      <c r="I96" s="1">
        <v>19.8</v>
      </c>
      <c r="J96" s="5">
        <f t="shared" si="3"/>
        <v>44.18262150220913</v>
      </c>
      <c r="K96" s="6">
        <f t="shared" si="4"/>
        <v>0.90533333333333332</v>
      </c>
      <c r="L96" s="6">
        <f t="shared" si="5"/>
        <v>9.0946666666666669</v>
      </c>
      <c r="M96" s="5">
        <v>10</v>
      </c>
    </row>
    <row r="97" spans="1:13" x14ac:dyDescent="0.15">
      <c r="A97" s="1">
        <v>96</v>
      </c>
      <c r="B97" s="1" t="s">
        <v>133</v>
      </c>
      <c r="C97" s="1">
        <v>1</v>
      </c>
      <c r="D97" s="4" t="s">
        <v>14</v>
      </c>
      <c r="E97" s="4" t="s">
        <v>29</v>
      </c>
      <c r="F97" s="4" t="s">
        <v>246</v>
      </c>
      <c r="G97" s="7" t="s">
        <v>247</v>
      </c>
      <c r="H97" s="1" t="s">
        <v>271</v>
      </c>
      <c r="I97" s="1">
        <v>2.2400000000000002</v>
      </c>
      <c r="J97" s="5">
        <f t="shared" si="3"/>
        <v>4.9984379881287104</v>
      </c>
      <c r="K97" s="6">
        <f t="shared" si="4"/>
        <v>8.0024999999999995</v>
      </c>
      <c r="L97" s="6">
        <f t="shared" si="5"/>
        <v>1.9975000000000005</v>
      </c>
      <c r="M97" s="5">
        <v>10</v>
      </c>
    </row>
    <row r="98" spans="1:13" x14ac:dyDescent="0.15">
      <c r="A98" s="1">
        <v>97</v>
      </c>
      <c r="B98" s="1" t="s">
        <v>134</v>
      </c>
      <c r="C98" s="1">
        <v>2</v>
      </c>
      <c r="D98" s="4" t="s">
        <v>248</v>
      </c>
      <c r="E98" s="4" t="s">
        <v>249</v>
      </c>
      <c r="F98" s="4" t="s">
        <v>15</v>
      </c>
      <c r="G98" s="4" t="s">
        <v>30</v>
      </c>
      <c r="H98" s="1" t="s">
        <v>33</v>
      </c>
      <c r="I98" s="1">
        <v>5.5</v>
      </c>
      <c r="J98" s="5">
        <f t="shared" si="3"/>
        <v>12.272950417280315</v>
      </c>
      <c r="K98" s="6">
        <f t="shared" si="4"/>
        <v>3.2591999999999999</v>
      </c>
      <c r="L98" s="6">
        <f t="shared" si="5"/>
        <v>6.7408000000000001</v>
      </c>
      <c r="M98" s="5">
        <v>10</v>
      </c>
    </row>
    <row r="99" spans="1:13" x14ac:dyDescent="0.15">
      <c r="A99" s="1">
        <v>98</v>
      </c>
      <c r="B99" s="1" t="s">
        <v>135</v>
      </c>
      <c r="C99" s="1">
        <v>2</v>
      </c>
      <c r="D99" s="4" t="s">
        <v>250</v>
      </c>
      <c r="E99" s="4" t="s">
        <v>251</v>
      </c>
      <c r="F99" s="4" t="s">
        <v>15</v>
      </c>
      <c r="G99" s="4" t="s">
        <v>30</v>
      </c>
      <c r="H99" s="1" t="s">
        <v>33</v>
      </c>
      <c r="I99" s="1">
        <v>10.9</v>
      </c>
      <c r="J99" s="5">
        <f t="shared" si="3"/>
        <v>24.322756281519169</v>
      </c>
      <c r="K99" s="6">
        <f t="shared" si="4"/>
        <v>1.6445504587155964</v>
      </c>
      <c r="L99" s="6">
        <f t="shared" si="5"/>
        <v>8.3554495412844041</v>
      </c>
      <c r="M99" s="5">
        <v>10</v>
      </c>
    </row>
    <row r="100" spans="1:13" x14ac:dyDescent="0.15">
      <c r="A100" s="1">
        <v>99</v>
      </c>
      <c r="B100" s="1" t="s">
        <v>136</v>
      </c>
      <c r="C100" s="1">
        <v>2</v>
      </c>
      <c r="D100" s="4" t="s">
        <v>252</v>
      </c>
      <c r="E100" s="4" t="s">
        <v>253</v>
      </c>
      <c r="F100" s="4" t="s">
        <v>15</v>
      </c>
      <c r="G100" s="4" t="s">
        <v>30</v>
      </c>
      <c r="H100" s="1" t="s">
        <v>33</v>
      </c>
      <c r="I100" s="1">
        <v>6.69</v>
      </c>
      <c r="J100" s="5">
        <f t="shared" si="3"/>
        <v>14.928370598473693</v>
      </c>
      <c r="K100" s="6">
        <f t="shared" si="4"/>
        <v>2.6794618834080715</v>
      </c>
      <c r="L100" s="6">
        <f t="shared" si="5"/>
        <v>7.3205381165919281</v>
      </c>
      <c r="M100" s="5">
        <v>10</v>
      </c>
    </row>
    <row r="101" spans="1:13" x14ac:dyDescent="0.15">
      <c r="A101" s="1">
        <v>100</v>
      </c>
      <c r="B101" s="1" t="s">
        <v>137</v>
      </c>
      <c r="C101" s="1">
        <v>2</v>
      </c>
      <c r="D101" s="4" t="s">
        <v>254</v>
      </c>
      <c r="E101" s="4" t="s">
        <v>255</v>
      </c>
      <c r="F101" s="4" t="s">
        <v>15</v>
      </c>
      <c r="G101" s="4" t="s">
        <v>30</v>
      </c>
      <c r="H101" s="1" t="s">
        <v>33</v>
      </c>
      <c r="I101" s="1">
        <v>1.59</v>
      </c>
      <c r="J101" s="5">
        <f t="shared" si="3"/>
        <v>3.5479983933592183</v>
      </c>
      <c r="K101" s="6" t="s">
        <v>18</v>
      </c>
      <c r="L101" s="6" t="s">
        <v>18</v>
      </c>
      <c r="M101" s="5">
        <v>10</v>
      </c>
    </row>
    <row r="102" spans="1:13" x14ac:dyDescent="0.15">
      <c r="A102" s="1">
        <v>101</v>
      </c>
      <c r="B102" s="1" t="s">
        <v>138</v>
      </c>
      <c r="C102" s="1">
        <v>2</v>
      </c>
      <c r="D102" s="4" t="s">
        <v>256</v>
      </c>
      <c r="E102" s="4" t="s">
        <v>257</v>
      </c>
      <c r="F102" s="4" t="s">
        <v>15</v>
      </c>
      <c r="G102" s="4" t="s">
        <v>30</v>
      </c>
      <c r="H102" s="1" t="s">
        <v>33</v>
      </c>
      <c r="I102" s="1">
        <v>9</v>
      </c>
      <c r="J102" s="5">
        <f t="shared" si="3"/>
        <v>20.083009773731423</v>
      </c>
      <c r="K102" s="6">
        <f t="shared" si="4"/>
        <v>1.9917333333333334</v>
      </c>
      <c r="L102" s="6">
        <f t="shared" si="5"/>
        <v>8.0082666666666675</v>
      </c>
      <c r="M102" s="5">
        <v>10</v>
      </c>
    </row>
    <row r="103" spans="1:13" x14ac:dyDescent="0.15">
      <c r="A103" s="1">
        <v>102</v>
      </c>
      <c r="B103" s="1" t="s">
        <v>139</v>
      </c>
      <c r="C103" s="1">
        <v>2</v>
      </c>
      <c r="D103" s="4" t="s">
        <v>258</v>
      </c>
      <c r="E103" s="4" t="s">
        <v>259</v>
      </c>
      <c r="F103" s="4" t="s">
        <v>15</v>
      </c>
      <c r="G103" s="4" t="s">
        <v>30</v>
      </c>
      <c r="H103" s="1" t="s">
        <v>33</v>
      </c>
      <c r="I103" s="1">
        <v>14.1</v>
      </c>
      <c r="J103" s="5">
        <f t="shared" si="3"/>
        <v>31.463381978845891</v>
      </c>
      <c r="K103" s="6">
        <f t="shared" si="4"/>
        <v>1.2713191489361704</v>
      </c>
      <c r="L103" s="6">
        <f t="shared" si="5"/>
        <v>8.7286808510638298</v>
      </c>
      <c r="M103" s="5">
        <v>10</v>
      </c>
    </row>
    <row r="104" spans="1:13" x14ac:dyDescent="0.15">
      <c r="A104" s="1">
        <v>103</v>
      </c>
      <c r="B104" s="1" t="s">
        <v>140</v>
      </c>
      <c r="C104" s="1">
        <v>2</v>
      </c>
      <c r="D104" s="4" t="s">
        <v>260</v>
      </c>
      <c r="E104" s="4" t="s">
        <v>261</v>
      </c>
      <c r="F104" s="4" t="s">
        <v>15</v>
      </c>
      <c r="G104" s="4" t="s">
        <v>30</v>
      </c>
      <c r="H104" s="1" t="s">
        <v>33</v>
      </c>
      <c r="I104" s="1">
        <v>22.7</v>
      </c>
      <c r="J104" s="5">
        <f t="shared" si="3"/>
        <v>50.653813540411477</v>
      </c>
      <c r="K104" s="6">
        <f t="shared" si="4"/>
        <v>0.7896740088105727</v>
      </c>
      <c r="L104" s="6">
        <f t="shared" si="5"/>
        <v>9.2103259911894266</v>
      </c>
      <c r="M104" s="5">
        <v>10</v>
      </c>
    </row>
    <row r="105" spans="1:13" x14ac:dyDescent="0.15">
      <c r="A105" s="1">
        <v>104</v>
      </c>
      <c r="B105" s="1" t="s">
        <v>141</v>
      </c>
      <c r="C105" s="1">
        <v>2</v>
      </c>
      <c r="D105" s="4" t="s">
        <v>262</v>
      </c>
      <c r="E105" s="4" t="s">
        <v>263</v>
      </c>
      <c r="F105" s="4" t="s">
        <v>15</v>
      </c>
      <c r="G105" s="4" t="s">
        <v>30</v>
      </c>
      <c r="H105" s="1" t="s">
        <v>33</v>
      </c>
      <c r="I105" s="1">
        <v>19.3</v>
      </c>
      <c r="J105" s="5">
        <f t="shared" si="3"/>
        <v>43.066898737001829</v>
      </c>
      <c r="K105" s="6">
        <f t="shared" si="4"/>
        <v>0.92878756476683944</v>
      </c>
      <c r="L105" s="6">
        <f t="shared" si="5"/>
        <v>9.0712124352331607</v>
      </c>
      <c r="M105" s="5">
        <v>10</v>
      </c>
    </row>
    <row r="106" spans="1:13" x14ac:dyDescent="0.15">
      <c r="A106" s="1">
        <v>105</v>
      </c>
      <c r="B106" s="1" t="s">
        <v>142</v>
      </c>
      <c r="C106" s="1">
        <v>2</v>
      </c>
      <c r="D106" s="4" t="s">
        <v>248</v>
      </c>
      <c r="E106" s="4" t="s">
        <v>249</v>
      </c>
      <c r="F106" s="4" t="s">
        <v>16</v>
      </c>
      <c r="G106" s="4" t="s">
        <v>31</v>
      </c>
      <c r="H106" s="1" t="s">
        <v>34</v>
      </c>
      <c r="I106" s="1">
        <v>15.3</v>
      </c>
      <c r="J106" s="5">
        <f t="shared" si="3"/>
        <v>34.141116615343421</v>
      </c>
      <c r="K106" s="6">
        <f t="shared" si="4"/>
        <v>1.1716078431372547</v>
      </c>
      <c r="L106" s="6">
        <f t="shared" si="5"/>
        <v>8.8283921568627459</v>
      </c>
      <c r="M106" s="5">
        <v>10</v>
      </c>
    </row>
    <row r="107" spans="1:13" x14ac:dyDescent="0.15">
      <c r="A107" s="1">
        <v>106</v>
      </c>
      <c r="B107" s="1" t="s">
        <v>143</v>
      </c>
      <c r="C107" s="1">
        <v>2</v>
      </c>
      <c r="D107" s="4" t="s">
        <v>250</v>
      </c>
      <c r="E107" s="4" t="s">
        <v>251</v>
      </c>
      <c r="F107" s="4" t="s">
        <v>16</v>
      </c>
      <c r="G107" s="4" t="s">
        <v>31</v>
      </c>
      <c r="H107" s="1" t="s">
        <v>34</v>
      </c>
      <c r="I107" s="1">
        <v>11.3</v>
      </c>
      <c r="J107" s="5">
        <f t="shared" si="3"/>
        <v>25.21533449368501</v>
      </c>
      <c r="K107" s="6">
        <f t="shared" si="4"/>
        <v>1.5863362831858407</v>
      </c>
      <c r="L107" s="6">
        <f t="shared" si="5"/>
        <v>8.4136637168141597</v>
      </c>
      <c r="M107" s="5">
        <v>10</v>
      </c>
    </row>
    <row r="108" spans="1:13" x14ac:dyDescent="0.15">
      <c r="A108" s="1">
        <v>107</v>
      </c>
      <c r="B108" s="1" t="s">
        <v>144</v>
      </c>
      <c r="C108" s="1">
        <v>2</v>
      </c>
      <c r="D108" s="4" t="s">
        <v>252</v>
      </c>
      <c r="E108" s="4" t="s">
        <v>253</v>
      </c>
      <c r="F108" s="4" t="s">
        <v>16</v>
      </c>
      <c r="G108" s="4" t="s">
        <v>31</v>
      </c>
      <c r="H108" s="1" t="s">
        <v>34</v>
      </c>
      <c r="I108" s="1">
        <v>19</v>
      </c>
      <c r="J108" s="5">
        <f t="shared" si="3"/>
        <v>42.397465077877449</v>
      </c>
      <c r="K108" s="6">
        <f t="shared" si="4"/>
        <v>0.94345263157894732</v>
      </c>
      <c r="L108" s="6">
        <f t="shared" si="5"/>
        <v>9.056547368421052</v>
      </c>
      <c r="M108" s="5">
        <v>10</v>
      </c>
    </row>
    <row r="109" spans="1:13" x14ac:dyDescent="0.15">
      <c r="A109" s="1">
        <v>108</v>
      </c>
      <c r="B109" s="1" t="s">
        <v>145</v>
      </c>
      <c r="C109" s="1">
        <v>2</v>
      </c>
      <c r="D109" s="4" t="s">
        <v>254</v>
      </c>
      <c r="E109" s="4" t="s">
        <v>255</v>
      </c>
      <c r="F109" s="4" t="s">
        <v>16</v>
      </c>
      <c r="G109" s="4" t="s">
        <v>31</v>
      </c>
      <c r="H109" s="1" t="s">
        <v>34</v>
      </c>
      <c r="I109" s="1">
        <v>13</v>
      </c>
      <c r="J109" s="5">
        <f t="shared" si="3"/>
        <v>29.008791895389834</v>
      </c>
      <c r="K109" s="6">
        <f t="shared" si="4"/>
        <v>1.3788923076923076</v>
      </c>
      <c r="L109" s="6">
        <f t="shared" si="5"/>
        <v>8.6211076923076924</v>
      </c>
      <c r="M109" s="5">
        <v>10</v>
      </c>
    </row>
    <row r="110" spans="1:13" x14ac:dyDescent="0.15">
      <c r="A110" s="1">
        <v>109</v>
      </c>
      <c r="B110" s="1" t="s">
        <v>146</v>
      </c>
      <c r="C110" s="1">
        <v>2</v>
      </c>
      <c r="D110" s="4" t="s">
        <v>256</v>
      </c>
      <c r="E110" s="4" t="s">
        <v>257</v>
      </c>
      <c r="F110" s="4" t="s">
        <v>16</v>
      </c>
      <c r="G110" s="4" t="s">
        <v>31</v>
      </c>
      <c r="H110" s="1" t="s">
        <v>34</v>
      </c>
      <c r="I110" s="1">
        <v>14.9</v>
      </c>
      <c r="J110" s="5">
        <f t="shared" si="3"/>
        <v>33.248538403177584</v>
      </c>
      <c r="K110" s="6">
        <f t="shared" si="4"/>
        <v>1.2030604026845635</v>
      </c>
      <c r="L110" s="6">
        <f t="shared" si="5"/>
        <v>8.7969395973154363</v>
      </c>
      <c r="M110" s="5">
        <v>10</v>
      </c>
    </row>
    <row r="111" spans="1:13" x14ac:dyDescent="0.15">
      <c r="A111" s="1">
        <v>110</v>
      </c>
      <c r="B111" s="1" t="s">
        <v>147</v>
      </c>
      <c r="C111" s="1">
        <v>2</v>
      </c>
      <c r="D111" s="4" t="s">
        <v>258</v>
      </c>
      <c r="E111" s="4" t="s">
        <v>259</v>
      </c>
      <c r="F111" s="4" t="s">
        <v>16</v>
      </c>
      <c r="G111" s="4" t="s">
        <v>31</v>
      </c>
      <c r="H111" s="1" t="s">
        <v>34</v>
      </c>
      <c r="I111" s="1">
        <v>19.8</v>
      </c>
      <c r="J111" s="5">
        <f t="shared" si="3"/>
        <v>44.18262150220913</v>
      </c>
      <c r="K111" s="6">
        <f t="shared" si="4"/>
        <v>0.90533333333333332</v>
      </c>
      <c r="L111" s="6">
        <f t="shared" si="5"/>
        <v>9.0946666666666669</v>
      </c>
      <c r="M111" s="5">
        <v>10</v>
      </c>
    </row>
    <row r="112" spans="1:13" x14ac:dyDescent="0.15">
      <c r="A112" s="1">
        <v>111</v>
      </c>
      <c r="B112" s="1" t="s">
        <v>148</v>
      </c>
      <c r="C112" s="1">
        <v>2</v>
      </c>
      <c r="D112" s="4" t="s">
        <v>260</v>
      </c>
      <c r="E112" s="4" t="s">
        <v>261</v>
      </c>
      <c r="F112" s="4" t="s">
        <v>16</v>
      </c>
      <c r="G112" s="4" t="s">
        <v>31</v>
      </c>
      <c r="H112" s="1" t="s">
        <v>34</v>
      </c>
      <c r="I112" s="1">
        <v>17.3</v>
      </c>
      <c r="J112" s="5">
        <f t="shared" si="3"/>
        <v>38.604007676172621</v>
      </c>
      <c r="K112" s="6">
        <f t="shared" si="4"/>
        <v>1.0361618497109828</v>
      </c>
      <c r="L112" s="6">
        <f t="shared" si="5"/>
        <v>8.9638381502890176</v>
      </c>
      <c r="M112" s="5">
        <v>10</v>
      </c>
    </row>
    <row r="113" spans="1:13" x14ac:dyDescent="0.15">
      <c r="A113" s="1">
        <v>112</v>
      </c>
      <c r="B113" s="1" t="s">
        <v>149</v>
      </c>
      <c r="C113" s="1">
        <v>2</v>
      </c>
      <c r="D113" s="4" t="s">
        <v>262</v>
      </c>
      <c r="E113" s="4" t="s">
        <v>263</v>
      </c>
      <c r="F113" s="4" t="s">
        <v>16</v>
      </c>
      <c r="G113" s="4" t="s">
        <v>31</v>
      </c>
      <c r="H113" s="1" t="s">
        <v>34</v>
      </c>
      <c r="I113" s="1">
        <v>20.5</v>
      </c>
      <c r="J113" s="5">
        <f t="shared" si="3"/>
        <v>45.744633373499354</v>
      </c>
      <c r="K113" s="6">
        <f t="shared" si="4"/>
        <v>0.87441951219512193</v>
      </c>
      <c r="L113" s="6">
        <f t="shared" si="5"/>
        <v>9.1255804878048785</v>
      </c>
      <c r="M113" s="5">
        <v>10</v>
      </c>
    </row>
    <row r="114" spans="1:13" x14ac:dyDescent="0.15">
      <c r="A114" s="1">
        <v>113</v>
      </c>
      <c r="B114" s="1" t="s">
        <v>150</v>
      </c>
      <c r="C114" s="1">
        <v>2</v>
      </c>
      <c r="D114" s="4" t="s">
        <v>248</v>
      </c>
      <c r="E114" s="4" t="s">
        <v>249</v>
      </c>
      <c r="F114" s="4" t="s">
        <v>35</v>
      </c>
      <c r="G114" s="7" t="s">
        <v>36</v>
      </c>
      <c r="H114" s="1" t="s">
        <v>37</v>
      </c>
      <c r="I114" s="1">
        <v>8.5299999999999994</v>
      </c>
      <c r="J114" s="5">
        <f t="shared" si="3"/>
        <v>19.034230374436561</v>
      </c>
      <c r="K114" s="6">
        <f t="shared" si="4"/>
        <v>2.1014771395076202</v>
      </c>
      <c r="L114" s="6">
        <f t="shared" si="5"/>
        <v>7.8985228604923794</v>
      </c>
      <c r="M114" s="5">
        <v>10</v>
      </c>
    </row>
    <row r="115" spans="1:13" x14ac:dyDescent="0.15">
      <c r="A115" s="1">
        <v>114</v>
      </c>
      <c r="B115" s="1" t="s">
        <v>151</v>
      </c>
      <c r="C115" s="1">
        <v>2</v>
      </c>
      <c r="D115" s="4" t="s">
        <v>250</v>
      </c>
      <c r="E115" s="4" t="s">
        <v>251</v>
      </c>
      <c r="F115" s="4" t="s">
        <v>35</v>
      </c>
      <c r="G115" s="7" t="s">
        <v>36</v>
      </c>
      <c r="H115" s="1" t="s">
        <v>37</v>
      </c>
      <c r="I115" s="1">
        <v>21.9</v>
      </c>
      <c r="J115" s="5">
        <f t="shared" si="3"/>
        <v>48.868657116079788</v>
      </c>
      <c r="K115" s="6">
        <f t="shared" si="4"/>
        <v>0.81852054794520557</v>
      </c>
      <c r="L115" s="6">
        <f t="shared" si="5"/>
        <v>9.1814794520547949</v>
      </c>
      <c r="M115" s="5">
        <v>10</v>
      </c>
    </row>
    <row r="116" spans="1:13" x14ac:dyDescent="0.15">
      <c r="A116" s="1">
        <v>115</v>
      </c>
      <c r="B116" s="1" t="s">
        <v>152</v>
      </c>
      <c r="C116" s="1">
        <v>2</v>
      </c>
      <c r="D116" s="4" t="s">
        <v>252</v>
      </c>
      <c r="E116" s="4" t="s">
        <v>253</v>
      </c>
      <c r="F116" s="4" t="s">
        <v>35</v>
      </c>
      <c r="G116" s="7" t="s">
        <v>36</v>
      </c>
      <c r="H116" s="1" t="s">
        <v>37</v>
      </c>
      <c r="I116" s="1">
        <v>6.47</v>
      </c>
      <c r="J116" s="5">
        <f t="shared" si="3"/>
        <v>14.437452581782479</v>
      </c>
      <c r="K116" s="6">
        <f t="shared" si="4"/>
        <v>2.7705718701700155</v>
      </c>
      <c r="L116" s="6">
        <f t="shared" si="5"/>
        <v>7.2294281298299845</v>
      </c>
      <c r="M116" s="5">
        <v>10</v>
      </c>
    </row>
    <row r="117" spans="1:13" x14ac:dyDescent="0.15">
      <c r="A117" s="1">
        <v>116</v>
      </c>
      <c r="B117" s="1" t="s">
        <v>153</v>
      </c>
      <c r="C117" s="1">
        <v>2</v>
      </c>
      <c r="D117" s="4" t="s">
        <v>254</v>
      </c>
      <c r="E117" s="4" t="s">
        <v>255</v>
      </c>
      <c r="F117" s="4" t="s">
        <v>35</v>
      </c>
      <c r="G117" s="7" t="s">
        <v>36</v>
      </c>
      <c r="H117" s="1" t="s">
        <v>37</v>
      </c>
      <c r="I117" s="1">
        <v>7.12</v>
      </c>
      <c r="J117" s="5">
        <f t="shared" si="3"/>
        <v>15.887892176551972</v>
      </c>
      <c r="K117" s="6">
        <f t="shared" si="4"/>
        <v>2.5176404494382019</v>
      </c>
      <c r="L117" s="6">
        <f t="shared" si="5"/>
        <v>7.4823595505617977</v>
      </c>
      <c r="M117" s="5">
        <v>10</v>
      </c>
    </row>
    <row r="118" spans="1:13" x14ac:dyDescent="0.15">
      <c r="A118" s="1">
        <v>117</v>
      </c>
      <c r="B118" s="1" t="s">
        <v>154</v>
      </c>
      <c r="C118" s="1">
        <v>2</v>
      </c>
      <c r="D118" s="4" t="s">
        <v>256</v>
      </c>
      <c r="E118" s="4" t="s">
        <v>257</v>
      </c>
      <c r="F118" s="4" t="s">
        <v>35</v>
      </c>
      <c r="G118" s="7" t="s">
        <v>36</v>
      </c>
      <c r="H118" s="1" t="s">
        <v>37</v>
      </c>
      <c r="I118" s="1">
        <v>11.7</v>
      </c>
      <c r="J118" s="5">
        <f t="shared" si="3"/>
        <v>26.107912705850847</v>
      </c>
      <c r="K118" s="6">
        <f t="shared" si="4"/>
        <v>1.5321025641025643</v>
      </c>
      <c r="L118" s="6">
        <f t="shared" si="5"/>
        <v>8.4678974358974362</v>
      </c>
      <c r="M118" s="5">
        <v>10</v>
      </c>
    </row>
    <row r="119" spans="1:13" x14ac:dyDescent="0.15">
      <c r="A119" s="1">
        <v>118</v>
      </c>
      <c r="B119" s="1" t="s">
        <v>155</v>
      </c>
      <c r="C119" s="1">
        <v>2</v>
      </c>
      <c r="D119" s="4" t="s">
        <v>258</v>
      </c>
      <c r="E119" s="4" t="s">
        <v>259</v>
      </c>
      <c r="F119" s="4" t="s">
        <v>35</v>
      </c>
      <c r="G119" s="7" t="s">
        <v>36</v>
      </c>
      <c r="H119" s="1" t="s">
        <v>37</v>
      </c>
      <c r="I119" s="1">
        <v>13.6</v>
      </c>
      <c r="J119" s="5">
        <f t="shared" si="3"/>
        <v>30.347659213638593</v>
      </c>
      <c r="K119" s="6">
        <f t="shared" si="4"/>
        <v>1.3180588235294119</v>
      </c>
      <c r="L119" s="6">
        <f t="shared" si="5"/>
        <v>8.6819411764705876</v>
      </c>
      <c r="M119" s="5">
        <v>10</v>
      </c>
    </row>
    <row r="120" spans="1:13" x14ac:dyDescent="0.15">
      <c r="A120" s="1">
        <v>119</v>
      </c>
      <c r="B120" s="1" t="s">
        <v>156</v>
      </c>
      <c r="C120" s="1">
        <v>2</v>
      </c>
      <c r="D120" s="4" t="s">
        <v>260</v>
      </c>
      <c r="E120" s="4" t="s">
        <v>261</v>
      </c>
      <c r="F120" s="4" t="s">
        <v>35</v>
      </c>
      <c r="G120" s="7" t="s">
        <v>36</v>
      </c>
      <c r="H120" s="1" t="s">
        <v>37</v>
      </c>
      <c r="I120" s="1">
        <v>16.2</v>
      </c>
      <c r="J120" s="5">
        <f t="shared" si="3"/>
        <v>36.14941759271656</v>
      </c>
      <c r="K120" s="6">
        <f t="shared" si="4"/>
        <v>1.1065185185185187</v>
      </c>
      <c r="L120" s="6">
        <f t="shared" si="5"/>
        <v>8.8934814814814818</v>
      </c>
      <c r="M120" s="5">
        <v>10</v>
      </c>
    </row>
    <row r="121" spans="1:13" x14ac:dyDescent="0.15">
      <c r="A121" s="1">
        <v>120</v>
      </c>
      <c r="B121" s="1" t="s">
        <v>157</v>
      </c>
      <c r="C121" s="1">
        <v>2</v>
      </c>
      <c r="D121" s="4" t="s">
        <v>262</v>
      </c>
      <c r="E121" s="4" t="s">
        <v>263</v>
      </c>
      <c r="F121" s="4" t="s">
        <v>35</v>
      </c>
      <c r="G121" s="7" t="s">
        <v>36</v>
      </c>
      <c r="H121" s="1" t="s">
        <v>37</v>
      </c>
      <c r="I121" s="1">
        <v>2.11</v>
      </c>
      <c r="J121" s="5">
        <f t="shared" si="3"/>
        <v>4.708350069174811</v>
      </c>
      <c r="K121" s="6">
        <f t="shared" si="4"/>
        <v>8.4955450236966836</v>
      </c>
      <c r="L121" s="6">
        <f t="shared" si="5"/>
        <v>1.5044549763033164</v>
      </c>
      <c r="M121" s="5">
        <v>10</v>
      </c>
    </row>
    <row r="122" spans="1:13" x14ac:dyDescent="0.15">
      <c r="A122" s="1">
        <v>121</v>
      </c>
      <c r="B122" s="1" t="s">
        <v>158</v>
      </c>
      <c r="C122" s="1">
        <v>2</v>
      </c>
      <c r="D122" s="4" t="s">
        <v>248</v>
      </c>
      <c r="E122" s="4" t="s">
        <v>249</v>
      </c>
      <c r="F122" s="4" t="s">
        <v>230</v>
      </c>
      <c r="G122" s="7" t="s">
        <v>231</v>
      </c>
      <c r="H122" s="1" t="s">
        <v>264</v>
      </c>
      <c r="I122" s="1">
        <v>11.3</v>
      </c>
      <c r="J122" s="5">
        <f t="shared" si="3"/>
        <v>25.21533449368501</v>
      </c>
      <c r="K122" s="6">
        <f t="shared" si="4"/>
        <v>1.5863362831858407</v>
      </c>
      <c r="L122" s="6">
        <f t="shared" si="5"/>
        <v>8.4136637168141597</v>
      </c>
      <c r="M122" s="5">
        <v>10</v>
      </c>
    </row>
    <row r="123" spans="1:13" x14ac:dyDescent="0.15">
      <c r="A123" s="1">
        <v>122</v>
      </c>
      <c r="B123" s="1" t="s">
        <v>159</v>
      </c>
      <c r="C123" s="1">
        <v>2</v>
      </c>
      <c r="D123" s="4" t="s">
        <v>250</v>
      </c>
      <c r="E123" s="4" t="s">
        <v>251</v>
      </c>
      <c r="F123" s="4" t="s">
        <v>230</v>
      </c>
      <c r="G123" s="7" t="s">
        <v>231</v>
      </c>
      <c r="H123" s="1" t="s">
        <v>264</v>
      </c>
      <c r="I123" s="1">
        <v>8.86</v>
      </c>
      <c r="J123" s="5">
        <f t="shared" si="3"/>
        <v>19.770607399473377</v>
      </c>
      <c r="K123" s="6">
        <f t="shared" si="4"/>
        <v>2.0232054176072238</v>
      </c>
      <c r="L123" s="6">
        <f t="shared" si="5"/>
        <v>7.9767945823927757</v>
      </c>
      <c r="M123" s="5">
        <v>10</v>
      </c>
    </row>
    <row r="124" spans="1:13" x14ac:dyDescent="0.15">
      <c r="A124" s="1">
        <v>123</v>
      </c>
      <c r="B124" s="1" t="s">
        <v>160</v>
      </c>
      <c r="C124" s="1">
        <v>2</v>
      </c>
      <c r="D124" s="4" t="s">
        <v>252</v>
      </c>
      <c r="E124" s="4" t="s">
        <v>253</v>
      </c>
      <c r="F124" s="4" t="s">
        <v>230</v>
      </c>
      <c r="G124" s="7" t="s">
        <v>231</v>
      </c>
      <c r="H124" s="1" t="s">
        <v>264</v>
      </c>
      <c r="I124" s="1">
        <v>3.07</v>
      </c>
      <c r="J124" s="5">
        <f t="shared" si="3"/>
        <v>6.8505377783728294</v>
      </c>
      <c r="K124" s="6">
        <f t="shared" si="4"/>
        <v>5.8389576547231279</v>
      </c>
      <c r="L124" s="6">
        <f t="shared" si="5"/>
        <v>4.1610423452768721</v>
      </c>
      <c r="M124" s="5">
        <v>10</v>
      </c>
    </row>
    <row r="125" spans="1:13" x14ac:dyDescent="0.15">
      <c r="A125" s="1">
        <v>124</v>
      </c>
      <c r="B125" s="1" t="s">
        <v>161</v>
      </c>
      <c r="C125" s="1">
        <v>2</v>
      </c>
      <c r="D125" s="4" t="s">
        <v>254</v>
      </c>
      <c r="E125" s="4" t="s">
        <v>255</v>
      </c>
      <c r="F125" s="4" t="s">
        <v>230</v>
      </c>
      <c r="G125" s="7" t="s">
        <v>231</v>
      </c>
      <c r="H125" s="1" t="s">
        <v>264</v>
      </c>
      <c r="I125" s="1">
        <v>2.83</v>
      </c>
      <c r="J125" s="5">
        <f t="shared" si="3"/>
        <v>6.3149908510733255</v>
      </c>
      <c r="K125" s="6">
        <f t="shared" si="4"/>
        <v>6.3341342756183741</v>
      </c>
      <c r="L125" s="6">
        <f t="shared" si="5"/>
        <v>3.6658657243816259</v>
      </c>
      <c r="M125" s="5">
        <v>10</v>
      </c>
    </row>
    <row r="126" spans="1:13" x14ac:dyDescent="0.15">
      <c r="A126" s="1">
        <v>125</v>
      </c>
      <c r="B126" s="1" t="s">
        <v>162</v>
      </c>
      <c r="C126" s="1">
        <v>2</v>
      </c>
      <c r="D126" s="4" t="s">
        <v>256</v>
      </c>
      <c r="E126" s="4" t="s">
        <v>257</v>
      </c>
      <c r="F126" s="4" t="s">
        <v>230</v>
      </c>
      <c r="G126" s="7" t="s">
        <v>231</v>
      </c>
      <c r="H126" s="1" t="s">
        <v>264</v>
      </c>
      <c r="I126" s="1">
        <v>11.3</v>
      </c>
      <c r="J126" s="5">
        <f t="shared" si="3"/>
        <v>25.21533449368501</v>
      </c>
      <c r="K126" s="6">
        <f t="shared" si="4"/>
        <v>1.5863362831858407</v>
      </c>
      <c r="L126" s="6">
        <f t="shared" si="5"/>
        <v>8.4136637168141597</v>
      </c>
      <c r="M126" s="5">
        <v>10</v>
      </c>
    </row>
    <row r="127" spans="1:13" x14ac:dyDescent="0.15">
      <c r="A127" s="1">
        <v>126</v>
      </c>
      <c r="B127" s="1" t="s">
        <v>163</v>
      </c>
      <c r="C127" s="1">
        <v>2</v>
      </c>
      <c r="D127" s="4" t="s">
        <v>258</v>
      </c>
      <c r="E127" s="4" t="s">
        <v>259</v>
      </c>
      <c r="F127" s="4" t="s">
        <v>230</v>
      </c>
      <c r="G127" s="7" t="s">
        <v>231</v>
      </c>
      <c r="H127" s="1" t="s">
        <v>264</v>
      </c>
      <c r="I127" s="1">
        <v>8.0500000000000007</v>
      </c>
      <c r="J127" s="5">
        <f t="shared" si="3"/>
        <v>17.963136519837551</v>
      </c>
      <c r="K127" s="6">
        <f t="shared" si="4"/>
        <v>2.2267826086956521</v>
      </c>
      <c r="L127" s="6">
        <f t="shared" si="5"/>
        <v>7.7732173913043479</v>
      </c>
      <c r="M127" s="5">
        <v>10</v>
      </c>
    </row>
    <row r="128" spans="1:13" x14ac:dyDescent="0.15">
      <c r="A128" s="1">
        <v>127</v>
      </c>
      <c r="B128" s="1" t="s">
        <v>164</v>
      </c>
      <c r="C128" s="1">
        <v>2</v>
      </c>
      <c r="D128" s="4" t="s">
        <v>260</v>
      </c>
      <c r="E128" s="4" t="s">
        <v>261</v>
      </c>
      <c r="F128" s="4" t="s">
        <v>230</v>
      </c>
      <c r="G128" s="7" t="s">
        <v>231</v>
      </c>
      <c r="H128" s="1" t="s">
        <v>264</v>
      </c>
      <c r="I128" s="1">
        <v>4.99</v>
      </c>
      <c r="J128" s="5">
        <f t="shared" si="3"/>
        <v>11.134913196768867</v>
      </c>
      <c r="K128" s="6">
        <f t="shared" si="4"/>
        <v>3.592304609218437</v>
      </c>
      <c r="L128" s="6">
        <f t="shared" si="5"/>
        <v>6.407695390781563</v>
      </c>
      <c r="M128" s="5">
        <v>10</v>
      </c>
    </row>
    <row r="129" spans="1:13" x14ac:dyDescent="0.15">
      <c r="A129" s="1">
        <v>128</v>
      </c>
      <c r="B129" s="1" t="s">
        <v>165</v>
      </c>
      <c r="C129" s="1">
        <v>2</v>
      </c>
      <c r="D129" s="4" t="s">
        <v>262</v>
      </c>
      <c r="E129" s="4" t="s">
        <v>263</v>
      </c>
      <c r="F129" s="4" t="s">
        <v>230</v>
      </c>
      <c r="G129" s="7" t="s">
        <v>231</v>
      </c>
      <c r="H129" s="1" t="s">
        <v>264</v>
      </c>
      <c r="I129" s="1">
        <v>20.6</v>
      </c>
      <c r="J129" s="5">
        <f t="shared" si="3"/>
        <v>45.967777926540812</v>
      </c>
      <c r="K129" s="6">
        <f t="shared" si="4"/>
        <v>0.87017475728155347</v>
      </c>
      <c r="L129" s="6">
        <f t="shared" si="5"/>
        <v>9.1298252427184465</v>
      </c>
      <c r="M129" s="5">
        <v>10</v>
      </c>
    </row>
    <row r="130" spans="1:13" x14ac:dyDescent="0.15">
      <c r="A130" s="1">
        <v>129</v>
      </c>
      <c r="B130" s="1" t="s">
        <v>166</v>
      </c>
      <c r="C130" s="1">
        <v>2</v>
      </c>
      <c r="D130" s="4" t="s">
        <v>248</v>
      </c>
      <c r="E130" s="4" t="s">
        <v>249</v>
      </c>
      <c r="F130" s="4" t="s">
        <v>232</v>
      </c>
      <c r="G130" s="7" t="s">
        <v>233</v>
      </c>
      <c r="H130" s="1" t="s">
        <v>265</v>
      </c>
      <c r="I130" s="1">
        <v>19.899999999999999</v>
      </c>
      <c r="J130" s="5">
        <f t="shared" si="3"/>
        <v>44.405766055250588</v>
      </c>
      <c r="K130" s="6">
        <f t="shared" si="4"/>
        <v>0.90078391959798998</v>
      </c>
      <c r="L130" s="6">
        <f t="shared" si="5"/>
        <v>9.0992160804020106</v>
      </c>
      <c r="M130" s="5">
        <v>10</v>
      </c>
    </row>
    <row r="131" spans="1:13" x14ac:dyDescent="0.15">
      <c r="A131" s="1">
        <v>130</v>
      </c>
      <c r="B131" s="1" t="s">
        <v>167</v>
      </c>
      <c r="C131" s="1">
        <v>2</v>
      </c>
      <c r="D131" s="4" t="s">
        <v>250</v>
      </c>
      <c r="E131" s="4" t="s">
        <v>251</v>
      </c>
      <c r="F131" s="4" t="s">
        <v>232</v>
      </c>
      <c r="G131" s="7" t="s">
        <v>233</v>
      </c>
      <c r="H131" s="1" t="s">
        <v>265</v>
      </c>
      <c r="I131" s="1">
        <v>9.31</v>
      </c>
      <c r="J131" s="5">
        <f t="shared" ref="J131:J194" si="6">((I131)/(660*679))*10^6</f>
        <v>20.77475788815995</v>
      </c>
      <c r="K131" s="6">
        <f t="shared" ref="K131:K194" si="7">(4*M131)/J131</f>
        <v>1.9254135338345864</v>
      </c>
      <c r="L131" s="6">
        <f t="shared" ref="L131:L194" si="8">M131-K131</f>
        <v>8.0745864661654139</v>
      </c>
      <c r="M131" s="5">
        <v>10</v>
      </c>
    </row>
    <row r="132" spans="1:13" x14ac:dyDescent="0.15">
      <c r="A132" s="1">
        <v>131</v>
      </c>
      <c r="B132" s="1" t="s">
        <v>168</v>
      </c>
      <c r="C132" s="1">
        <v>2</v>
      </c>
      <c r="D132" s="4" t="s">
        <v>252</v>
      </c>
      <c r="E132" s="4" t="s">
        <v>253</v>
      </c>
      <c r="F132" s="4" t="s">
        <v>232</v>
      </c>
      <c r="G132" s="7" t="s">
        <v>233</v>
      </c>
      <c r="H132" s="1" t="s">
        <v>265</v>
      </c>
      <c r="I132" s="1">
        <v>8.31</v>
      </c>
      <c r="J132" s="5">
        <f t="shared" si="6"/>
        <v>18.54331235774535</v>
      </c>
      <c r="K132" s="6">
        <f t="shared" si="7"/>
        <v>2.1571119133574004</v>
      </c>
      <c r="L132" s="6">
        <f t="shared" si="8"/>
        <v>7.8428880866425992</v>
      </c>
      <c r="M132" s="5">
        <v>10</v>
      </c>
    </row>
    <row r="133" spans="1:13" x14ac:dyDescent="0.15">
      <c r="A133" s="1">
        <v>132</v>
      </c>
      <c r="B133" s="1" t="s">
        <v>169</v>
      </c>
      <c r="C133" s="1">
        <v>2</v>
      </c>
      <c r="D133" s="4" t="s">
        <v>254</v>
      </c>
      <c r="E133" s="4" t="s">
        <v>255</v>
      </c>
      <c r="F133" s="4" t="s">
        <v>232</v>
      </c>
      <c r="G133" s="7" t="s">
        <v>233</v>
      </c>
      <c r="H133" s="1" t="s">
        <v>265</v>
      </c>
      <c r="I133" s="1">
        <v>4.99</v>
      </c>
      <c r="J133" s="5">
        <f t="shared" si="6"/>
        <v>11.134913196768867</v>
      </c>
      <c r="K133" s="6">
        <f t="shared" si="7"/>
        <v>3.592304609218437</v>
      </c>
      <c r="L133" s="6">
        <f t="shared" si="8"/>
        <v>6.407695390781563</v>
      </c>
      <c r="M133" s="5">
        <v>10</v>
      </c>
    </row>
    <row r="134" spans="1:13" x14ac:dyDescent="0.15">
      <c r="A134" s="1">
        <v>133</v>
      </c>
      <c r="B134" s="1" t="s">
        <v>170</v>
      </c>
      <c r="C134" s="1">
        <v>2</v>
      </c>
      <c r="D134" s="4" t="s">
        <v>256</v>
      </c>
      <c r="E134" s="4" t="s">
        <v>257</v>
      </c>
      <c r="F134" s="4" t="s">
        <v>232</v>
      </c>
      <c r="G134" s="7" t="s">
        <v>233</v>
      </c>
      <c r="H134" s="1" t="s">
        <v>265</v>
      </c>
      <c r="I134" s="1">
        <v>13.4</v>
      </c>
      <c r="J134" s="5">
        <f t="shared" si="6"/>
        <v>29.901370107555675</v>
      </c>
      <c r="K134" s="6">
        <f t="shared" si="7"/>
        <v>1.337731343283582</v>
      </c>
      <c r="L134" s="6">
        <f t="shared" si="8"/>
        <v>8.6622686567164173</v>
      </c>
      <c r="M134" s="5">
        <v>10</v>
      </c>
    </row>
    <row r="135" spans="1:13" x14ac:dyDescent="0.15">
      <c r="A135" s="1">
        <v>134</v>
      </c>
      <c r="B135" s="1" t="s">
        <v>171</v>
      </c>
      <c r="C135" s="1">
        <v>2</v>
      </c>
      <c r="D135" s="4" t="s">
        <v>258</v>
      </c>
      <c r="E135" s="4" t="s">
        <v>259</v>
      </c>
      <c r="F135" s="4" t="s">
        <v>232</v>
      </c>
      <c r="G135" s="7" t="s">
        <v>233</v>
      </c>
      <c r="H135" s="1" t="s">
        <v>265</v>
      </c>
      <c r="I135" s="1">
        <v>18.2</v>
      </c>
      <c r="J135" s="5">
        <f t="shared" si="6"/>
        <v>40.612308653545767</v>
      </c>
      <c r="K135" s="6">
        <f t="shared" si="7"/>
        <v>0.9849230769230769</v>
      </c>
      <c r="L135" s="6">
        <f t="shared" si="8"/>
        <v>9.0150769230769239</v>
      </c>
      <c r="M135" s="5">
        <v>10</v>
      </c>
    </row>
    <row r="136" spans="1:13" x14ac:dyDescent="0.15">
      <c r="A136" s="1">
        <v>135</v>
      </c>
      <c r="B136" s="1" t="s">
        <v>172</v>
      </c>
      <c r="C136" s="1">
        <v>2</v>
      </c>
      <c r="D136" s="4" t="s">
        <v>260</v>
      </c>
      <c r="E136" s="4" t="s">
        <v>261</v>
      </c>
      <c r="F136" s="4" t="s">
        <v>232</v>
      </c>
      <c r="G136" s="7" t="s">
        <v>233</v>
      </c>
      <c r="H136" s="1" t="s">
        <v>265</v>
      </c>
      <c r="I136" s="1">
        <v>8.4499999999999993</v>
      </c>
      <c r="J136" s="5">
        <f t="shared" si="6"/>
        <v>18.855714732003392</v>
      </c>
      <c r="K136" s="6">
        <f t="shared" si="7"/>
        <v>2.1213727810650886</v>
      </c>
      <c r="L136" s="6">
        <f t="shared" si="8"/>
        <v>7.8786272189349109</v>
      </c>
      <c r="M136" s="5">
        <v>10</v>
      </c>
    </row>
    <row r="137" spans="1:13" x14ac:dyDescent="0.15">
      <c r="A137" s="1">
        <v>136</v>
      </c>
      <c r="B137" s="1" t="s">
        <v>173</v>
      </c>
      <c r="C137" s="1">
        <v>2</v>
      </c>
      <c r="D137" s="4" t="s">
        <v>262</v>
      </c>
      <c r="E137" s="4" t="s">
        <v>263</v>
      </c>
      <c r="F137" s="4" t="s">
        <v>232</v>
      </c>
      <c r="G137" s="7" t="s">
        <v>233</v>
      </c>
      <c r="H137" s="1" t="s">
        <v>265</v>
      </c>
      <c r="I137" s="1">
        <v>12.6</v>
      </c>
      <c r="J137" s="5">
        <f t="shared" si="6"/>
        <v>28.11621368322399</v>
      </c>
      <c r="K137" s="6">
        <f t="shared" si="7"/>
        <v>1.4226666666666667</v>
      </c>
      <c r="L137" s="6">
        <f t="shared" si="8"/>
        <v>8.5773333333333337</v>
      </c>
      <c r="M137" s="5">
        <v>10</v>
      </c>
    </row>
    <row r="138" spans="1:13" x14ac:dyDescent="0.15">
      <c r="A138" s="1">
        <v>137</v>
      </c>
      <c r="B138" s="1" t="s">
        <v>174</v>
      </c>
      <c r="C138" s="1">
        <v>2</v>
      </c>
      <c r="D138" s="4" t="s">
        <v>248</v>
      </c>
      <c r="E138" s="4" t="s">
        <v>249</v>
      </c>
      <c r="F138" s="4" t="s">
        <v>234</v>
      </c>
      <c r="G138" s="7" t="s">
        <v>235</v>
      </c>
      <c r="H138" s="1" t="s">
        <v>266</v>
      </c>
      <c r="I138" s="1">
        <v>21</v>
      </c>
      <c r="J138" s="5">
        <f t="shared" si="6"/>
        <v>46.860356138706656</v>
      </c>
      <c r="K138" s="6">
        <f t="shared" si="7"/>
        <v>0.85359999999999991</v>
      </c>
      <c r="L138" s="6">
        <f t="shared" si="8"/>
        <v>9.1463999999999999</v>
      </c>
      <c r="M138" s="5">
        <v>10</v>
      </c>
    </row>
    <row r="139" spans="1:13" x14ac:dyDescent="0.15">
      <c r="A139" s="1">
        <v>138</v>
      </c>
      <c r="B139" s="1" t="s">
        <v>175</v>
      </c>
      <c r="C139" s="1">
        <v>2</v>
      </c>
      <c r="D139" s="4" t="s">
        <v>250</v>
      </c>
      <c r="E139" s="4" t="s">
        <v>251</v>
      </c>
      <c r="F139" s="4" t="s">
        <v>234</v>
      </c>
      <c r="G139" s="7" t="s">
        <v>235</v>
      </c>
      <c r="H139" s="1" t="s">
        <v>266</v>
      </c>
      <c r="I139" s="1">
        <v>8.25</v>
      </c>
      <c r="J139" s="5">
        <f t="shared" si="6"/>
        <v>18.40942562592047</v>
      </c>
      <c r="K139" s="6">
        <f t="shared" si="7"/>
        <v>2.1728000000000001</v>
      </c>
      <c r="L139" s="6">
        <f t="shared" si="8"/>
        <v>7.8271999999999995</v>
      </c>
      <c r="M139" s="5">
        <v>10</v>
      </c>
    </row>
    <row r="140" spans="1:13" x14ac:dyDescent="0.15">
      <c r="A140" s="1">
        <v>139</v>
      </c>
      <c r="B140" s="1" t="s">
        <v>176</v>
      </c>
      <c r="C140" s="1">
        <v>2</v>
      </c>
      <c r="D140" s="4" t="s">
        <v>252</v>
      </c>
      <c r="E140" s="4" t="s">
        <v>253</v>
      </c>
      <c r="F140" s="4" t="s">
        <v>234</v>
      </c>
      <c r="G140" s="7" t="s">
        <v>235</v>
      </c>
      <c r="H140" s="1" t="s">
        <v>266</v>
      </c>
      <c r="I140" s="1">
        <v>17</v>
      </c>
      <c r="J140" s="5">
        <f t="shared" si="6"/>
        <v>37.934574017048242</v>
      </c>
      <c r="K140" s="6">
        <f t="shared" si="7"/>
        <v>1.0544470588235295</v>
      </c>
      <c r="L140" s="6">
        <f t="shared" si="8"/>
        <v>8.9455529411764712</v>
      </c>
      <c r="M140" s="5">
        <v>10</v>
      </c>
    </row>
    <row r="141" spans="1:13" x14ac:dyDescent="0.15">
      <c r="A141" s="1">
        <v>140</v>
      </c>
      <c r="B141" s="1" t="s">
        <v>177</v>
      </c>
      <c r="C141" s="1">
        <v>2</v>
      </c>
      <c r="D141" s="4" t="s">
        <v>254</v>
      </c>
      <c r="E141" s="4" t="s">
        <v>255</v>
      </c>
      <c r="F141" s="4" t="s">
        <v>234</v>
      </c>
      <c r="G141" s="7" t="s">
        <v>235</v>
      </c>
      <c r="H141" s="1" t="s">
        <v>266</v>
      </c>
      <c r="I141" s="1">
        <v>5.77</v>
      </c>
      <c r="J141" s="5">
        <f t="shared" si="6"/>
        <v>12.875440710492256</v>
      </c>
      <c r="K141" s="6">
        <f t="shared" si="7"/>
        <v>3.106689774696707</v>
      </c>
      <c r="L141" s="6">
        <f t="shared" si="8"/>
        <v>6.893310225303293</v>
      </c>
      <c r="M141" s="5">
        <v>10</v>
      </c>
    </row>
    <row r="142" spans="1:13" x14ac:dyDescent="0.15">
      <c r="A142" s="1">
        <v>141</v>
      </c>
      <c r="B142" s="1" t="s">
        <v>178</v>
      </c>
      <c r="C142" s="1">
        <v>2</v>
      </c>
      <c r="D142" s="4" t="s">
        <v>256</v>
      </c>
      <c r="E142" s="4" t="s">
        <v>257</v>
      </c>
      <c r="F142" s="4" t="s">
        <v>234</v>
      </c>
      <c r="G142" s="7" t="s">
        <v>235</v>
      </c>
      <c r="H142" s="1" t="s">
        <v>266</v>
      </c>
      <c r="I142" s="1">
        <v>20</v>
      </c>
      <c r="J142" s="5">
        <f t="shared" si="6"/>
        <v>44.628910608292053</v>
      </c>
      <c r="K142" s="6">
        <f t="shared" si="7"/>
        <v>0.89627999999999997</v>
      </c>
      <c r="L142" s="6">
        <f t="shared" si="8"/>
        <v>9.1037199999999991</v>
      </c>
      <c r="M142" s="5">
        <v>10</v>
      </c>
    </row>
    <row r="143" spans="1:13" x14ac:dyDescent="0.15">
      <c r="A143" s="1">
        <v>142</v>
      </c>
      <c r="B143" s="1" t="s">
        <v>179</v>
      </c>
      <c r="C143" s="1">
        <v>2</v>
      </c>
      <c r="D143" s="4" t="s">
        <v>258</v>
      </c>
      <c r="E143" s="4" t="s">
        <v>259</v>
      </c>
      <c r="F143" s="4" t="s">
        <v>234</v>
      </c>
      <c r="G143" s="7" t="s">
        <v>235</v>
      </c>
      <c r="H143" s="1" t="s">
        <v>266</v>
      </c>
      <c r="I143" s="1">
        <v>16.600000000000001</v>
      </c>
      <c r="J143" s="5">
        <f t="shared" si="6"/>
        <v>37.041995804882404</v>
      </c>
      <c r="K143" s="6">
        <f t="shared" si="7"/>
        <v>1.0798554216867469</v>
      </c>
      <c r="L143" s="6">
        <f t="shared" si="8"/>
        <v>8.9201445783132538</v>
      </c>
      <c r="M143" s="5">
        <v>10</v>
      </c>
    </row>
    <row r="144" spans="1:13" x14ac:dyDescent="0.15">
      <c r="A144" s="1">
        <v>143</v>
      </c>
      <c r="B144" s="1" t="s">
        <v>180</v>
      </c>
      <c r="C144" s="1">
        <v>2</v>
      </c>
      <c r="D144" s="4" t="s">
        <v>260</v>
      </c>
      <c r="E144" s="4" t="s">
        <v>261</v>
      </c>
      <c r="F144" s="4" t="s">
        <v>234</v>
      </c>
      <c r="G144" s="7" t="s">
        <v>235</v>
      </c>
      <c r="H144" s="1" t="s">
        <v>266</v>
      </c>
      <c r="I144" s="1">
        <v>5.18</v>
      </c>
      <c r="J144" s="5">
        <f t="shared" si="6"/>
        <v>11.55888784754764</v>
      </c>
      <c r="K144" s="6">
        <f t="shared" si="7"/>
        <v>3.4605405405405412</v>
      </c>
      <c r="L144" s="6">
        <f t="shared" si="8"/>
        <v>6.5394594594594588</v>
      </c>
      <c r="M144" s="5">
        <v>10</v>
      </c>
    </row>
    <row r="145" spans="1:13" x14ac:dyDescent="0.15">
      <c r="A145" s="1">
        <v>144</v>
      </c>
      <c r="B145" s="1" t="s">
        <v>181</v>
      </c>
      <c r="C145" s="1">
        <v>2</v>
      </c>
      <c r="D145" s="4" t="s">
        <v>262</v>
      </c>
      <c r="E145" s="4" t="s">
        <v>263</v>
      </c>
      <c r="F145" s="4" t="s">
        <v>234</v>
      </c>
      <c r="G145" s="7" t="s">
        <v>235</v>
      </c>
      <c r="H145" s="1" t="s">
        <v>266</v>
      </c>
      <c r="I145" s="1">
        <v>2.48</v>
      </c>
      <c r="J145" s="5">
        <f t="shared" si="6"/>
        <v>5.5339849154282144</v>
      </c>
      <c r="K145" s="6">
        <f t="shared" si="7"/>
        <v>7.2280645161290327</v>
      </c>
      <c r="L145" s="6">
        <f t="shared" si="8"/>
        <v>2.7719354838709673</v>
      </c>
      <c r="M145" s="5">
        <v>10</v>
      </c>
    </row>
    <row r="146" spans="1:13" x14ac:dyDescent="0.15">
      <c r="A146" s="1">
        <v>145</v>
      </c>
      <c r="B146" s="1" t="s">
        <v>182</v>
      </c>
      <c r="C146" s="1">
        <v>2</v>
      </c>
      <c r="D146" s="4" t="s">
        <v>248</v>
      </c>
      <c r="E146" s="4" t="s">
        <v>249</v>
      </c>
      <c r="F146" s="4" t="s">
        <v>236</v>
      </c>
      <c r="G146" s="7" t="s">
        <v>237</v>
      </c>
      <c r="H146" s="1" t="s">
        <v>267</v>
      </c>
      <c r="I146" s="1">
        <v>15.5</v>
      </c>
      <c r="J146" s="5">
        <f t="shared" si="6"/>
        <v>34.587405721426336</v>
      </c>
      <c r="K146" s="6">
        <f t="shared" si="7"/>
        <v>1.1564903225806453</v>
      </c>
      <c r="L146" s="6">
        <f t="shared" si="8"/>
        <v>8.8435096774193553</v>
      </c>
      <c r="M146" s="5">
        <v>10</v>
      </c>
    </row>
    <row r="147" spans="1:13" x14ac:dyDescent="0.15">
      <c r="A147" s="1">
        <v>146</v>
      </c>
      <c r="B147" s="1" t="s">
        <v>183</v>
      </c>
      <c r="C147" s="1">
        <v>2</v>
      </c>
      <c r="D147" s="4" t="s">
        <v>250</v>
      </c>
      <c r="E147" s="4" t="s">
        <v>251</v>
      </c>
      <c r="F147" s="4" t="s">
        <v>236</v>
      </c>
      <c r="G147" s="7" t="s">
        <v>237</v>
      </c>
      <c r="H147" s="1" t="s">
        <v>267</v>
      </c>
      <c r="I147" s="1">
        <v>17.7</v>
      </c>
      <c r="J147" s="5">
        <f t="shared" si="6"/>
        <v>39.496585888338466</v>
      </c>
      <c r="K147" s="6">
        <f t="shared" si="7"/>
        <v>1.0127457627118643</v>
      </c>
      <c r="L147" s="6">
        <f t="shared" si="8"/>
        <v>8.9872542372881359</v>
      </c>
      <c r="M147" s="5">
        <v>10</v>
      </c>
    </row>
    <row r="148" spans="1:13" x14ac:dyDescent="0.15">
      <c r="A148" s="1">
        <v>147</v>
      </c>
      <c r="B148" s="1" t="s">
        <v>184</v>
      </c>
      <c r="C148" s="1">
        <v>2</v>
      </c>
      <c r="D148" s="4" t="s">
        <v>252</v>
      </c>
      <c r="E148" s="4" t="s">
        <v>253</v>
      </c>
      <c r="F148" s="4" t="s">
        <v>236</v>
      </c>
      <c r="G148" s="7" t="s">
        <v>237</v>
      </c>
      <c r="H148" s="1" t="s">
        <v>267</v>
      </c>
      <c r="I148" s="1">
        <v>12</v>
      </c>
      <c r="J148" s="5">
        <f t="shared" si="6"/>
        <v>26.777346364975234</v>
      </c>
      <c r="K148" s="6">
        <f t="shared" si="7"/>
        <v>1.4937999999999998</v>
      </c>
      <c r="L148" s="6">
        <f t="shared" si="8"/>
        <v>8.5061999999999998</v>
      </c>
      <c r="M148" s="5">
        <v>10</v>
      </c>
    </row>
    <row r="149" spans="1:13" x14ac:dyDescent="0.15">
      <c r="A149" s="1">
        <v>148</v>
      </c>
      <c r="B149" s="1" t="s">
        <v>185</v>
      </c>
      <c r="C149" s="1">
        <v>2</v>
      </c>
      <c r="D149" s="4" t="s">
        <v>254</v>
      </c>
      <c r="E149" s="4" t="s">
        <v>255</v>
      </c>
      <c r="F149" s="4" t="s">
        <v>236</v>
      </c>
      <c r="G149" s="7" t="s">
        <v>237</v>
      </c>
      <c r="H149" s="1" t="s">
        <v>267</v>
      </c>
      <c r="I149" s="1">
        <v>17.3</v>
      </c>
      <c r="J149" s="5">
        <f t="shared" si="6"/>
        <v>38.604007676172621</v>
      </c>
      <c r="K149" s="6">
        <f t="shared" si="7"/>
        <v>1.0361618497109828</v>
      </c>
      <c r="L149" s="6">
        <f t="shared" si="8"/>
        <v>8.9638381502890176</v>
      </c>
      <c r="M149" s="5">
        <v>10</v>
      </c>
    </row>
    <row r="150" spans="1:13" x14ac:dyDescent="0.15">
      <c r="A150" s="1">
        <v>149</v>
      </c>
      <c r="B150" s="1" t="s">
        <v>186</v>
      </c>
      <c r="C150" s="1">
        <v>2</v>
      </c>
      <c r="D150" s="4" t="s">
        <v>256</v>
      </c>
      <c r="E150" s="4" t="s">
        <v>257</v>
      </c>
      <c r="F150" s="4" t="s">
        <v>236</v>
      </c>
      <c r="G150" s="7" t="s">
        <v>237</v>
      </c>
      <c r="H150" s="1" t="s">
        <v>267</v>
      </c>
      <c r="I150" s="1">
        <v>16.7</v>
      </c>
      <c r="J150" s="5">
        <f t="shared" si="6"/>
        <v>37.265140357923862</v>
      </c>
      <c r="K150" s="6">
        <f t="shared" si="7"/>
        <v>1.0733892215568863</v>
      </c>
      <c r="L150" s="6">
        <f t="shared" si="8"/>
        <v>8.9266107784431128</v>
      </c>
      <c r="M150" s="5">
        <v>10</v>
      </c>
    </row>
    <row r="151" spans="1:13" x14ac:dyDescent="0.15">
      <c r="A151" s="1">
        <v>150</v>
      </c>
      <c r="B151" s="1" t="s">
        <v>187</v>
      </c>
      <c r="C151" s="1">
        <v>2</v>
      </c>
      <c r="D151" s="4" t="s">
        <v>258</v>
      </c>
      <c r="E151" s="4" t="s">
        <v>259</v>
      </c>
      <c r="F151" s="4" t="s">
        <v>236</v>
      </c>
      <c r="G151" s="7" t="s">
        <v>237</v>
      </c>
      <c r="H151" s="1" t="s">
        <v>267</v>
      </c>
      <c r="I151" s="1">
        <v>5.09</v>
      </c>
      <c r="J151" s="5">
        <f t="shared" si="6"/>
        <v>11.358057749810328</v>
      </c>
      <c r="K151" s="6">
        <f t="shared" si="7"/>
        <v>3.5217288801571707</v>
      </c>
      <c r="L151" s="6">
        <f t="shared" si="8"/>
        <v>6.4782711198428293</v>
      </c>
      <c r="M151" s="5">
        <v>10</v>
      </c>
    </row>
    <row r="152" spans="1:13" x14ac:dyDescent="0.15">
      <c r="A152" s="1">
        <v>151</v>
      </c>
      <c r="B152" s="1" t="s">
        <v>188</v>
      </c>
      <c r="C152" s="1">
        <v>2</v>
      </c>
      <c r="D152" s="4" t="s">
        <v>260</v>
      </c>
      <c r="E152" s="4" t="s">
        <v>261</v>
      </c>
      <c r="F152" s="4" t="s">
        <v>236</v>
      </c>
      <c r="G152" s="7" t="s">
        <v>237</v>
      </c>
      <c r="H152" s="1" t="s">
        <v>267</v>
      </c>
      <c r="I152" s="1">
        <v>16.5</v>
      </c>
      <c r="J152" s="5">
        <f t="shared" si="6"/>
        <v>36.81885125184094</v>
      </c>
      <c r="K152" s="6">
        <f t="shared" si="7"/>
        <v>1.0864</v>
      </c>
      <c r="L152" s="6">
        <f t="shared" si="8"/>
        <v>8.9136000000000006</v>
      </c>
      <c r="M152" s="5">
        <v>10</v>
      </c>
    </row>
    <row r="153" spans="1:13" x14ac:dyDescent="0.15">
      <c r="A153" s="1">
        <v>152</v>
      </c>
      <c r="B153" s="1" t="s">
        <v>189</v>
      </c>
      <c r="C153" s="1">
        <v>2</v>
      </c>
      <c r="D153" s="4" t="s">
        <v>262</v>
      </c>
      <c r="E153" s="4" t="s">
        <v>263</v>
      </c>
      <c r="F153" s="4" t="s">
        <v>236</v>
      </c>
      <c r="G153" s="7" t="s">
        <v>237</v>
      </c>
      <c r="H153" s="1" t="s">
        <v>267</v>
      </c>
      <c r="I153" s="1">
        <v>15.7</v>
      </c>
      <c r="J153" s="5">
        <f t="shared" si="6"/>
        <v>35.033694827509258</v>
      </c>
      <c r="K153" s="6">
        <f t="shared" si="7"/>
        <v>1.1417579617834395</v>
      </c>
      <c r="L153" s="6">
        <f t="shared" si="8"/>
        <v>8.8582420382165612</v>
      </c>
      <c r="M153" s="5">
        <v>10</v>
      </c>
    </row>
    <row r="154" spans="1:13" x14ac:dyDescent="0.15">
      <c r="A154" s="1">
        <v>153</v>
      </c>
      <c r="B154" s="1" t="s">
        <v>190</v>
      </c>
      <c r="C154" s="1">
        <v>2</v>
      </c>
      <c r="D154" s="4" t="s">
        <v>248</v>
      </c>
      <c r="E154" s="4" t="s">
        <v>249</v>
      </c>
      <c r="F154" s="4" t="s">
        <v>238</v>
      </c>
      <c r="G154" s="7" t="s">
        <v>239</v>
      </c>
      <c r="H154" s="7" t="s">
        <v>268</v>
      </c>
      <c r="I154" s="1">
        <v>12.6</v>
      </c>
      <c r="J154" s="5">
        <f t="shared" si="6"/>
        <v>28.11621368322399</v>
      </c>
      <c r="K154" s="6">
        <f t="shared" si="7"/>
        <v>1.4226666666666667</v>
      </c>
      <c r="L154" s="6">
        <f t="shared" si="8"/>
        <v>8.5773333333333337</v>
      </c>
      <c r="M154" s="5">
        <v>10</v>
      </c>
    </row>
    <row r="155" spans="1:13" x14ac:dyDescent="0.15">
      <c r="A155" s="1">
        <v>154</v>
      </c>
      <c r="B155" s="1" t="s">
        <v>191</v>
      </c>
      <c r="C155" s="1">
        <v>2</v>
      </c>
      <c r="D155" s="4" t="s">
        <v>250</v>
      </c>
      <c r="E155" s="4" t="s">
        <v>251</v>
      </c>
      <c r="F155" s="4" t="s">
        <v>238</v>
      </c>
      <c r="G155" s="7" t="s">
        <v>239</v>
      </c>
      <c r="H155" s="7" t="s">
        <v>268</v>
      </c>
      <c r="I155" s="1">
        <v>14.1</v>
      </c>
      <c r="J155" s="5">
        <f t="shared" si="6"/>
        <v>31.463381978845891</v>
      </c>
      <c r="K155" s="6">
        <f t="shared" si="7"/>
        <v>1.2713191489361704</v>
      </c>
      <c r="L155" s="6">
        <f t="shared" si="8"/>
        <v>8.7286808510638298</v>
      </c>
      <c r="M155" s="5">
        <v>10</v>
      </c>
    </row>
    <row r="156" spans="1:13" x14ac:dyDescent="0.15">
      <c r="A156" s="1">
        <v>155</v>
      </c>
      <c r="B156" s="1" t="s">
        <v>192</v>
      </c>
      <c r="C156" s="1">
        <v>2</v>
      </c>
      <c r="D156" s="4" t="s">
        <v>252</v>
      </c>
      <c r="E156" s="4" t="s">
        <v>253</v>
      </c>
      <c r="F156" s="4" t="s">
        <v>238</v>
      </c>
      <c r="G156" s="7" t="s">
        <v>239</v>
      </c>
      <c r="H156" s="7" t="s">
        <v>268</v>
      </c>
      <c r="I156" s="1">
        <v>17.600000000000001</v>
      </c>
      <c r="J156" s="5">
        <f t="shared" si="6"/>
        <v>39.273441335297008</v>
      </c>
      <c r="K156" s="6">
        <f t="shared" si="7"/>
        <v>1.0185</v>
      </c>
      <c r="L156" s="6">
        <f t="shared" si="8"/>
        <v>8.9815000000000005</v>
      </c>
      <c r="M156" s="5">
        <v>10</v>
      </c>
    </row>
    <row r="157" spans="1:13" x14ac:dyDescent="0.15">
      <c r="A157" s="1">
        <v>156</v>
      </c>
      <c r="B157" s="1" t="s">
        <v>193</v>
      </c>
      <c r="C157" s="1">
        <v>2</v>
      </c>
      <c r="D157" s="4" t="s">
        <v>254</v>
      </c>
      <c r="E157" s="4" t="s">
        <v>255</v>
      </c>
      <c r="F157" s="4" t="s">
        <v>238</v>
      </c>
      <c r="G157" s="7" t="s">
        <v>239</v>
      </c>
      <c r="H157" s="7" t="s">
        <v>268</v>
      </c>
      <c r="I157" s="1">
        <v>17.399999999999999</v>
      </c>
      <c r="J157" s="5">
        <f t="shared" si="6"/>
        <v>38.827152229214086</v>
      </c>
      <c r="K157" s="6">
        <f t="shared" si="7"/>
        <v>1.0302068965517241</v>
      </c>
      <c r="L157" s="6">
        <f t="shared" si="8"/>
        <v>8.969793103448275</v>
      </c>
      <c r="M157" s="5">
        <v>10</v>
      </c>
    </row>
    <row r="158" spans="1:13" x14ac:dyDescent="0.15">
      <c r="A158" s="1">
        <v>157</v>
      </c>
      <c r="B158" s="1" t="s">
        <v>194</v>
      </c>
      <c r="C158" s="1">
        <v>2</v>
      </c>
      <c r="D158" s="4" t="s">
        <v>256</v>
      </c>
      <c r="E158" s="4" t="s">
        <v>257</v>
      </c>
      <c r="F158" s="4" t="s">
        <v>238</v>
      </c>
      <c r="G158" s="7" t="s">
        <v>239</v>
      </c>
      <c r="H158" s="7" t="s">
        <v>268</v>
      </c>
      <c r="I158" s="1">
        <v>11.8</v>
      </c>
      <c r="J158" s="5">
        <f t="shared" si="6"/>
        <v>26.331057258892312</v>
      </c>
      <c r="K158" s="6">
        <f t="shared" si="7"/>
        <v>1.5191186440677966</v>
      </c>
      <c r="L158" s="6">
        <f t="shared" si="8"/>
        <v>8.4808813559322029</v>
      </c>
      <c r="M158" s="5">
        <v>10</v>
      </c>
    </row>
    <row r="159" spans="1:13" x14ac:dyDescent="0.15">
      <c r="A159" s="1">
        <v>158</v>
      </c>
      <c r="B159" s="1" t="s">
        <v>195</v>
      </c>
      <c r="C159" s="1">
        <v>2</v>
      </c>
      <c r="D159" s="4" t="s">
        <v>258</v>
      </c>
      <c r="E159" s="4" t="s">
        <v>259</v>
      </c>
      <c r="F159" s="4" t="s">
        <v>238</v>
      </c>
      <c r="G159" s="7" t="s">
        <v>239</v>
      </c>
      <c r="H159" s="7" t="s">
        <v>268</v>
      </c>
      <c r="I159" s="1">
        <v>5.56</v>
      </c>
      <c r="J159" s="5">
        <f t="shared" si="6"/>
        <v>12.40683714910519</v>
      </c>
      <c r="K159" s="6">
        <f t="shared" si="7"/>
        <v>3.2240287769784173</v>
      </c>
      <c r="L159" s="6">
        <f t="shared" si="8"/>
        <v>6.7759712230215827</v>
      </c>
      <c r="M159" s="5">
        <v>10</v>
      </c>
    </row>
    <row r="160" spans="1:13" x14ac:dyDescent="0.15">
      <c r="A160" s="1">
        <v>159</v>
      </c>
      <c r="B160" s="1" t="s">
        <v>196</v>
      </c>
      <c r="C160" s="1">
        <v>2</v>
      </c>
      <c r="D160" s="4" t="s">
        <v>260</v>
      </c>
      <c r="E160" s="4" t="s">
        <v>261</v>
      </c>
      <c r="F160" s="4" t="s">
        <v>238</v>
      </c>
      <c r="G160" s="7" t="s">
        <v>239</v>
      </c>
      <c r="H160" s="7" t="s">
        <v>268</v>
      </c>
      <c r="I160" s="1">
        <v>17.899999999999999</v>
      </c>
      <c r="J160" s="5">
        <f t="shared" si="6"/>
        <v>39.942874994421388</v>
      </c>
      <c r="K160" s="6">
        <f t="shared" si="7"/>
        <v>1.0014301675977653</v>
      </c>
      <c r="L160" s="6">
        <f t="shared" si="8"/>
        <v>8.9985698324022341</v>
      </c>
      <c r="M160" s="5">
        <v>10</v>
      </c>
    </row>
    <row r="161" spans="1:13" x14ac:dyDescent="0.15">
      <c r="A161" s="1">
        <v>160</v>
      </c>
      <c r="B161" s="1" t="s">
        <v>197</v>
      </c>
      <c r="C161" s="1">
        <v>2</v>
      </c>
      <c r="D161" s="4" t="s">
        <v>262</v>
      </c>
      <c r="E161" s="4" t="s">
        <v>263</v>
      </c>
      <c r="F161" s="4" t="s">
        <v>238</v>
      </c>
      <c r="G161" s="7" t="s">
        <v>239</v>
      </c>
      <c r="H161" s="7" t="s">
        <v>268</v>
      </c>
      <c r="I161" s="1">
        <v>14</v>
      </c>
      <c r="J161" s="5">
        <f t="shared" si="6"/>
        <v>31.240237425804438</v>
      </c>
      <c r="K161" s="6">
        <f t="shared" si="7"/>
        <v>1.2804</v>
      </c>
      <c r="L161" s="6">
        <f t="shared" si="8"/>
        <v>8.7195999999999998</v>
      </c>
      <c r="M161" s="5">
        <v>10</v>
      </c>
    </row>
    <row r="162" spans="1:13" x14ac:dyDescent="0.15">
      <c r="A162" s="1">
        <v>161</v>
      </c>
      <c r="B162" s="1" t="s">
        <v>198</v>
      </c>
      <c r="C162" s="1">
        <v>2</v>
      </c>
      <c r="D162" s="4" t="s">
        <v>248</v>
      </c>
      <c r="E162" s="4" t="s">
        <v>249</v>
      </c>
      <c r="F162" s="4" t="s">
        <v>240</v>
      </c>
      <c r="G162" s="7" t="s">
        <v>241</v>
      </c>
      <c r="H162" s="7" t="s">
        <v>241</v>
      </c>
      <c r="I162" s="1">
        <v>15</v>
      </c>
      <c r="J162" s="5">
        <f t="shared" si="6"/>
        <v>33.471682956219034</v>
      </c>
      <c r="K162" s="6">
        <f t="shared" si="7"/>
        <v>1.1950400000000001</v>
      </c>
      <c r="L162" s="6">
        <f t="shared" si="8"/>
        <v>8.8049599999999995</v>
      </c>
      <c r="M162" s="5">
        <v>10</v>
      </c>
    </row>
    <row r="163" spans="1:13" x14ac:dyDescent="0.15">
      <c r="A163" s="1">
        <v>162</v>
      </c>
      <c r="B163" s="1" t="s">
        <v>199</v>
      </c>
      <c r="C163" s="1">
        <v>2</v>
      </c>
      <c r="D163" s="4" t="s">
        <v>250</v>
      </c>
      <c r="E163" s="4" t="s">
        <v>251</v>
      </c>
      <c r="F163" s="4" t="s">
        <v>240</v>
      </c>
      <c r="G163" s="7" t="s">
        <v>241</v>
      </c>
      <c r="H163" s="7" t="s">
        <v>241</v>
      </c>
      <c r="I163" s="1">
        <v>6.87</v>
      </c>
      <c r="J163" s="5">
        <f t="shared" si="6"/>
        <v>15.330030793948321</v>
      </c>
      <c r="K163" s="6">
        <f t="shared" si="7"/>
        <v>2.6092576419213973</v>
      </c>
      <c r="L163" s="6">
        <f t="shared" si="8"/>
        <v>7.3907423580786027</v>
      </c>
      <c r="M163" s="5">
        <v>10</v>
      </c>
    </row>
    <row r="164" spans="1:13" x14ac:dyDescent="0.15">
      <c r="A164" s="1">
        <v>163</v>
      </c>
      <c r="B164" s="1" t="s">
        <v>200</v>
      </c>
      <c r="C164" s="1">
        <v>2</v>
      </c>
      <c r="D164" s="4" t="s">
        <v>252</v>
      </c>
      <c r="E164" s="4" t="s">
        <v>253</v>
      </c>
      <c r="F164" s="4" t="s">
        <v>240</v>
      </c>
      <c r="G164" s="7" t="s">
        <v>241</v>
      </c>
      <c r="H164" s="7" t="s">
        <v>241</v>
      </c>
      <c r="I164" s="1">
        <v>17.5</v>
      </c>
      <c r="J164" s="5">
        <f t="shared" si="6"/>
        <v>39.050296782255543</v>
      </c>
      <c r="K164" s="6">
        <f t="shared" si="7"/>
        <v>1.0243200000000001</v>
      </c>
      <c r="L164" s="6">
        <f t="shared" si="8"/>
        <v>8.9756800000000005</v>
      </c>
      <c r="M164" s="5">
        <v>10</v>
      </c>
    </row>
    <row r="165" spans="1:13" x14ac:dyDescent="0.15">
      <c r="A165" s="1">
        <v>164</v>
      </c>
      <c r="B165" s="1" t="s">
        <v>201</v>
      </c>
      <c r="C165" s="1">
        <v>2</v>
      </c>
      <c r="D165" s="4" t="s">
        <v>254</v>
      </c>
      <c r="E165" s="4" t="s">
        <v>255</v>
      </c>
      <c r="F165" s="4" t="s">
        <v>240</v>
      </c>
      <c r="G165" s="7" t="s">
        <v>241</v>
      </c>
      <c r="H165" s="7" t="s">
        <v>241</v>
      </c>
      <c r="I165" s="1">
        <v>14.5</v>
      </c>
      <c r="J165" s="5">
        <f t="shared" si="6"/>
        <v>32.355960191011739</v>
      </c>
      <c r="K165" s="6">
        <f t="shared" si="7"/>
        <v>1.236248275862069</v>
      </c>
      <c r="L165" s="6">
        <f t="shared" si="8"/>
        <v>8.763751724137931</v>
      </c>
      <c r="M165" s="5">
        <v>10</v>
      </c>
    </row>
    <row r="166" spans="1:13" x14ac:dyDescent="0.15">
      <c r="A166" s="1">
        <v>165</v>
      </c>
      <c r="B166" s="1" t="s">
        <v>202</v>
      </c>
      <c r="C166" s="1">
        <v>2</v>
      </c>
      <c r="D166" s="4" t="s">
        <v>256</v>
      </c>
      <c r="E166" s="4" t="s">
        <v>257</v>
      </c>
      <c r="F166" s="4" t="s">
        <v>240</v>
      </c>
      <c r="G166" s="7" t="s">
        <v>241</v>
      </c>
      <c r="H166" s="7" t="s">
        <v>241</v>
      </c>
      <c r="I166" s="1">
        <v>11.3</v>
      </c>
      <c r="J166" s="5">
        <f t="shared" si="6"/>
        <v>25.21533449368501</v>
      </c>
      <c r="K166" s="6">
        <f t="shared" si="7"/>
        <v>1.5863362831858407</v>
      </c>
      <c r="L166" s="6">
        <f t="shared" si="8"/>
        <v>8.4136637168141597</v>
      </c>
      <c r="M166" s="5">
        <v>10</v>
      </c>
    </row>
    <row r="167" spans="1:13" x14ac:dyDescent="0.15">
      <c r="A167" s="1">
        <v>166</v>
      </c>
      <c r="B167" s="1" t="s">
        <v>203</v>
      </c>
      <c r="C167" s="1">
        <v>2</v>
      </c>
      <c r="D167" s="4" t="s">
        <v>258</v>
      </c>
      <c r="E167" s="4" t="s">
        <v>259</v>
      </c>
      <c r="F167" s="4" t="s">
        <v>240</v>
      </c>
      <c r="G167" s="7" t="s">
        <v>241</v>
      </c>
      <c r="H167" s="7" t="s">
        <v>241</v>
      </c>
      <c r="I167" s="1">
        <v>18.600000000000001</v>
      </c>
      <c r="J167" s="5">
        <f t="shared" si="6"/>
        <v>41.504886865711612</v>
      </c>
      <c r="K167" s="6">
        <f t="shared" si="7"/>
        <v>0.96374193548387088</v>
      </c>
      <c r="L167" s="6">
        <f t="shared" si="8"/>
        <v>9.0362580645161295</v>
      </c>
      <c r="M167" s="5">
        <v>10</v>
      </c>
    </row>
    <row r="168" spans="1:13" x14ac:dyDescent="0.15">
      <c r="A168" s="1">
        <v>167</v>
      </c>
      <c r="B168" s="1" t="s">
        <v>204</v>
      </c>
      <c r="C168" s="1">
        <v>2</v>
      </c>
      <c r="D168" s="4" t="s">
        <v>260</v>
      </c>
      <c r="E168" s="4" t="s">
        <v>261</v>
      </c>
      <c r="F168" s="4" t="s">
        <v>240</v>
      </c>
      <c r="G168" s="7" t="s">
        <v>241</v>
      </c>
      <c r="H168" s="7" t="s">
        <v>241</v>
      </c>
      <c r="I168" s="1">
        <v>11.3</v>
      </c>
      <c r="J168" s="5">
        <f t="shared" si="6"/>
        <v>25.21533449368501</v>
      </c>
      <c r="K168" s="6">
        <f t="shared" si="7"/>
        <v>1.5863362831858407</v>
      </c>
      <c r="L168" s="6">
        <f t="shared" si="8"/>
        <v>8.4136637168141597</v>
      </c>
      <c r="M168" s="5">
        <v>10</v>
      </c>
    </row>
    <row r="169" spans="1:13" x14ac:dyDescent="0.15">
      <c r="A169" s="1">
        <v>168</v>
      </c>
      <c r="B169" s="1" t="s">
        <v>205</v>
      </c>
      <c r="C169" s="1">
        <v>2</v>
      </c>
      <c r="D169" s="4" t="s">
        <v>262</v>
      </c>
      <c r="E169" s="4" t="s">
        <v>263</v>
      </c>
      <c r="F169" s="4" t="s">
        <v>240</v>
      </c>
      <c r="G169" s="7" t="s">
        <v>241</v>
      </c>
      <c r="H169" s="7" t="s">
        <v>241</v>
      </c>
      <c r="I169" s="1">
        <v>2.21</v>
      </c>
      <c r="J169" s="5">
        <f t="shared" si="6"/>
        <v>4.9314946222162712</v>
      </c>
      <c r="K169" s="6">
        <f t="shared" si="7"/>
        <v>8.1111312217194573</v>
      </c>
      <c r="L169" s="6">
        <f t="shared" si="8"/>
        <v>1.8888687782805427</v>
      </c>
      <c r="M169" s="5">
        <v>10</v>
      </c>
    </row>
    <row r="170" spans="1:13" x14ac:dyDescent="0.15">
      <c r="A170" s="1">
        <v>169</v>
      </c>
      <c r="B170" s="1" t="s">
        <v>206</v>
      </c>
      <c r="C170" s="1">
        <v>2</v>
      </c>
      <c r="D170" s="4" t="s">
        <v>248</v>
      </c>
      <c r="E170" s="4" t="s">
        <v>249</v>
      </c>
      <c r="F170" s="4" t="s">
        <v>242</v>
      </c>
      <c r="G170" s="7" t="s">
        <v>243</v>
      </c>
      <c r="H170" s="7" t="s">
        <v>269</v>
      </c>
      <c r="I170" s="1">
        <v>30.6</v>
      </c>
      <c r="J170" s="5">
        <f t="shared" si="6"/>
        <v>68.282233230686842</v>
      </c>
      <c r="K170" s="6">
        <f t="shared" si="7"/>
        <v>0.58580392156862737</v>
      </c>
      <c r="L170" s="6">
        <f t="shared" si="8"/>
        <v>9.4141960784313721</v>
      </c>
      <c r="M170" s="5">
        <v>10</v>
      </c>
    </row>
    <row r="171" spans="1:13" x14ac:dyDescent="0.15">
      <c r="A171" s="1">
        <v>170</v>
      </c>
      <c r="B171" s="1" t="s">
        <v>207</v>
      </c>
      <c r="C171" s="1">
        <v>2</v>
      </c>
      <c r="D171" s="4" t="s">
        <v>250</v>
      </c>
      <c r="E171" s="4" t="s">
        <v>251</v>
      </c>
      <c r="F171" s="4" t="s">
        <v>242</v>
      </c>
      <c r="G171" s="7" t="s">
        <v>243</v>
      </c>
      <c r="H171" s="7" t="s">
        <v>269</v>
      </c>
      <c r="I171" s="1">
        <v>27.6</v>
      </c>
      <c r="J171" s="5">
        <f t="shared" si="6"/>
        <v>61.587896639443038</v>
      </c>
      <c r="K171" s="6">
        <f t="shared" si="7"/>
        <v>0.64947826086956517</v>
      </c>
      <c r="L171" s="6">
        <f t="shared" si="8"/>
        <v>9.3505217391304356</v>
      </c>
      <c r="M171" s="5">
        <v>10</v>
      </c>
    </row>
    <row r="172" spans="1:13" x14ac:dyDescent="0.15">
      <c r="A172" s="1">
        <v>171</v>
      </c>
      <c r="B172" s="1" t="s">
        <v>208</v>
      </c>
      <c r="C172" s="1">
        <v>2</v>
      </c>
      <c r="D172" s="4" t="s">
        <v>252</v>
      </c>
      <c r="E172" s="4" t="s">
        <v>253</v>
      </c>
      <c r="F172" s="4" t="s">
        <v>242</v>
      </c>
      <c r="G172" s="7" t="s">
        <v>243</v>
      </c>
      <c r="H172" s="7" t="s">
        <v>269</v>
      </c>
      <c r="I172" s="1">
        <v>35</v>
      </c>
      <c r="J172" s="5">
        <f t="shared" si="6"/>
        <v>78.100593564511087</v>
      </c>
      <c r="K172" s="6">
        <f t="shared" si="7"/>
        <v>0.51216000000000006</v>
      </c>
      <c r="L172" s="6">
        <f t="shared" si="8"/>
        <v>9.4878400000000003</v>
      </c>
      <c r="M172" s="5">
        <v>10</v>
      </c>
    </row>
    <row r="173" spans="1:13" x14ac:dyDescent="0.15">
      <c r="A173" s="1">
        <v>172</v>
      </c>
      <c r="B173" s="1" t="s">
        <v>209</v>
      </c>
      <c r="C173" s="1">
        <v>2</v>
      </c>
      <c r="D173" s="4" t="s">
        <v>254</v>
      </c>
      <c r="E173" s="4" t="s">
        <v>255</v>
      </c>
      <c r="F173" s="4" t="s">
        <v>242</v>
      </c>
      <c r="G173" s="7" t="s">
        <v>243</v>
      </c>
      <c r="H173" s="7" t="s">
        <v>269</v>
      </c>
      <c r="I173" s="1">
        <v>33.5</v>
      </c>
      <c r="J173" s="5">
        <f t="shared" si="6"/>
        <v>74.753425268889188</v>
      </c>
      <c r="K173" s="6">
        <f t="shared" si="7"/>
        <v>0.53509253731343287</v>
      </c>
      <c r="L173" s="6">
        <f t="shared" si="8"/>
        <v>9.4649074626865666</v>
      </c>
      <c r="M173" s="5">
        <v>10</v>
      </c>
    </row>
    <row r="174" spans="1:13" x14ac:dyDescent="0.15">
      <c r="A174" s="1">
        <v>173</v>
      </c>
      <c r="B174" s="1" t="s">
        <v>210</v>
      </c>
      <c r="C174" s="1">
        <v>2</v>
      </c>
      <c r="D174" s="4" t="s">
        <v>256</v>
      </c>
      <c r="E174" s="4" t="s">
        <v>257</v>
      </c>
      <c r="F174" s="4" t="s">
        <v>242</v>
      </c>
      <c r="G174" s="7" t="s">
        <v>243</v>
      </c>
      <c r="H174" s="7" t="s">
        <v>269</v>
      </c>
      <c r="I174" s="1">
        <v>19.7</v>
      </c>
      <c r="J174" s="5">
        <f t="shared" si="6"/>
        <v>43.959476949167673</v>
      </c>
      <c r="K174" s="6">
        <f t="shared" si="7"/>
        <v>0.90992893401015229</v>
      </c>
      <c r="L174" s="6">
        <f t="shared" si="8"/>
        <v>9.0900710659898483</v>
      </c>
      <c r="M174" s="5">
        <v>10</v>
      </c>
    </row>
    <row r="175" spans="1:13" x14ac:dyDescent="0.15">
      <c r="A175" s="1">
        <v>174</v>
      </c>
      <c r="B175" s="1" t="s">
        <v>211</v>
      </c>
      <c r="C175" s="1">
        <v>2</v>
      </c>
      <c r="D175" s="4" t="s">
        <v>258</v>
      </c>
      <c r="E175" s="4" t="s">
        <v>259</v>
      </c>
      <c r="F175" s="4" t="s">
        <v>242</v>
      </c>
      <c r="G175" s="7" t="s">
        <v>243</v>
      </c>
      <c r="H175" s="7" t="s">
        <v>269</v>
      </c>
      <c r="I175" s="1">
        <v>14.4</v>
      </c>
      <c r="J175" s="5">
        <f t="shared" si="6"/>
        <v>32.132815637970282</v>
      </c>
      <c r="K175" s="6">
        <f t="shared" si="7"/>
        <v>1.2448333333333332</v>
      </c>
      <c r="L175" s="6">
        <f t="shared" si="8"/>
        <v>8.7551666666666677</v>
      </c>
      <c r="M175" s="5">
        <v>10</v>
      </c>
    </row>
    <row r="176" spans="1:13" x14ac:dyDescent="0.15">
      <c r="A176" s="1">
        <v>175</v>
      </c>
      <c r="B176" s="1" t="s">
        <v>212</v>
      </c>
      <c r="C176" s="1">
        <v>2</v>
      </c>
      <c r="D176" s="4" t="s">
        <v>260</v>
      </c>
      <c r="E176" s="4" t="s">
        <v>261</v>
      </c>
      <c r="F176" s="4" t="s">
        <v>242</v>
      </c>
      <c r="G176" s="7" t="s">
        <v>243</v>
      </c>
      <c r="H176" s="7" t="s">
        <v>269</v>
      </c>
      <c r="I176" s="1">
        <v>24</v>
      </c>
      <c r="J176" s="5">
        <f t="shared" si="6"/>
        <v>53.554692729950467</v>
      </c>
      <c r="K176" s="6">
        <f t="shared" si="7"/>
        <v>0.7468999999999999</v>
      </c>
      <c r="L176" s="6">
        <f t="shared" si="8"/>
        <v>9.2530999999999999</v>
      </c>
      <c r="M176" s="5">
        <v>10</v>
      </c>
    </row>
    <row r="177" spans="1:13" x14ac:dyDescent="0.15">
      <c r="A177" s="1">
        <v>176</v>
      </c>
      <c r="B177" s="1" t="s">
        <v>213</v>
      </c>
      <c r="C177" s="1">
        <v>2</v>
      </c>
      <c r="D177" s="4" t="s">
        <v>262</v>
      </c>
      <c r="E177" s="4" t="s">
        <v>263</v>
      </c>
      <c r="F177" s="4" t="s">
        <v>242</v>
      </c>
      <c r="G177" s="7" t="s">
        <v>243</v>
      </c>
      <c r="H177" s="7" t="s">
        <v>269</v>
      </c>
      <c r="I177" s="1">
        <v>12.6</v>
      </c>
      <c r="J177" s="5">
        <f t="shared" si="6"/>
        <v>28.11621368322399</v>
      </c>
      <c r="K177" s="6">
        <f t="shared" si="7"/>
        <v>1.4226666666666667</v>
      </c>
      <c r="L177" s="6">
        <f t="shared" si="8"/>
        <v>8.5773333333333337</v>
      </c>
      <c r="M177" s="5">
        <v>10</v>
      </c>
    </row>
    <row r="178" spans="1:13" x14ac:dyDescent="0.15">
      <c r="A178" s="1">
        <v>177</v>
      </c>
      <c r="B178" s="1" t="s">
        <v>214</v>
      </c>
      <c r="C178" s="1">
        <v>2</v>
      </c>
      <c r="D178" s="4" t="s">
        <v>248</v>
      </c>
      <c r="E178" s="4" t="s">
        <v>249</v>
      </c>
      <c r="F178" s="4" t="s">
        <v>244</v>
      </c>
      <c r="G178" s="7" t="s">
        <v>245</v>
      </c>
      <c r="H178" s="7" t="s">
        <v>270</v>
      </c>
      <c r="I178" s="1">
        <v>25.2</v>
      </c>
      <c r="J178" s="5">
        <f t="shared" si="6"/>
        <v>56.232427366447979</v>
      </c>
      <c r="K178" s="6">
        <f t="shared" si="7"/>
        <v>0.71133333333333337</v>
      </c>
      <c r="L178" s="6">
        <f t="shared" si="8"/>
        <v>9.288666666666666</v>
      </c>
      <c r="M178" s="5">
        <v>10</v>
      </c>
    </row>
    <row r="179" spans="1:13" x14ac:dyDescent="0.15">
      <c r="A179" s="1">
        <v>178</v>
      </c>
      <c r="B179" s="1" t="s">
        <v>215</v>
      </c>
      <c r="C179" s="1">
        <v>2</v>
      </c>
      <c r="D179" s="4" t="s">
        <v>250</v>
      </c>
      <c r="E179" s="4" t="s">
        <v>251</v>
      </c>
      <c r="F179" s="4" t="s">
        <v>244</v>
      </c>
      <c r="G179" s="7" t="s">
        <v>245</v>
      </c>
      <c r="H179" s="7" t="s">
        <v>270</v>
      </c>
      <c r="I179" s="1">
        <v>14.4</v>
      </c>
      <c r="J179" s="5">
        <f t="shared" si="6"/>
        <v>32.132815637970282</v>
      </c>
      <c r="K179" s="6">
        <f t="shared" si="7"/>
        <v>1.2448333333333332</v>
      </c>
      <c r="L179" s="6">
        <f t="shared" si="8"/>
        <v>8.7551666666666677</v>
      </c>
      <c r="M179" s="5">
        <v>10</v>
      </c>
    </row>
    <row r="180" spans="1:13" x14ac:dyDescent="0.15">
      <c r="A180" s="1">
        <v>179</v>
      </c>
      <c r="B180" s="1" t="s">
        <v>216</v>
      </c>
      <c r="C180" s="1">
        <v>2</v>
      </c>
      <c r="D180" s="4" t="s">
        <v>252</v>
      </c>
      <c r="E180" s="4" t="s">
        <v>253</v>
      </c>
      <c r="F180" s="4" t="s">
        <v>244</v>
      </c>
      <c r="G180" s="7" t="s">
        <v>245</v>
      </c>
      <c r="H180" s="7" t="s">
        <v>270</v>
      </c>
      <c r="I180" s="1">
        <v>31.6</v>
      </c>
      <c r="J180" s="5">
        <f t="shared" si="6"/>
        <v>70.513678761101446</v>
      </c>
      <c r="K180" s="6">
        <f t="shared" si="7"/>
        <v>0.56726582278481008</v>
      </c>
      <c r="L180" s="6">
        <f t="shared" si="8"/>
        <v>9.43273417721519</v>
      </c>
      <c r="M180" s="5">
        <v>10</v>
      </c>
    </row>
    <row r="181" spans="1:13" x14ac:dyDescent="0.15">
      <c r="A181" s="1">
        <v>180</v>
      </c>
      <c r="B181" s="1" t="s">
        <v>217</v>
      </c>
      <c r="C181" s="1">
        <v>2</v>
      </c>
      <c r="D181" s="4" t="s">
        <v>254</v>
      </c>
      <c r="E181" s="4" t="s">
        <v>255</v>
      </c>
      <c r="F181" s="4" t="s">
        <v>244</v>
      </c>
      <c r="G181" s="7" t="s">
        <v>245</v>
      </c>
      <c r="H181" s="7" t="s">
        <v>270</v>
      </c>
      <c r="I181" s="1">
        <v>29</v>
      </c>
      <c r="J181" s="5">
        <f t="shared" si="6"/>
        <v>64.711920382023479</v>
      </c>
      <c r="K181" s="6">
        <f t="shared" si="7"/>
        <v>0.61812413793103449</v>
      </c>
      <c r="L181" s="6">
        <f t="shared" si="8"/>
        <v>9.3818758620689664</v>
      </c>
      <c r="M181" s="5">
        <v>10</v>
      </c>
    </row>
    <row r="182" spans="1:13" x14ac:dyDescent="0.15">
      <c r="A182" s="1">
        <v>181</v>
      </c>
      <c r="B182" s="1" t="s">
        <v>218</v>
      </c>
      <c r="C182" s="1">
        <v>2</v>
      </c>
      <c r="D182" s="4" t="s">
        <v>256</v>
      </c>
      <c r="E182" s="4" t="s">
        <v>257</v>
      </c>
      <c r="F182" s="4" t="s">
        <v>244</v>
      </c>
      <c r="G182" s="7" t="s">
        <v>245</v>
      </c>
      <c r="H182" s="7" t="s">
        <v>270</v>
      </c>
      <c r="I182" s="1">
        <v>4.84</v>
      </c>
      <c r="J182" s="5">
        <f t="shared" si="6"/>
        <v>10.800196367206677</v>
      </c>
      <c r="K182" s="6">
        <f t="shared" si="7"/>
        <v>3.7036363636363632</v>
      </c>
      <c r="L182" s="6">
        <f t="shared" si="8"/>
        <v>6.2963636363636368</v>
      </c>
      <c r="M182" s="5">
        <v>10</v>
      </c>
    </row>
    <row r="183" spans="1:13" x14ac:dyDescent="0.15">
      <c r="A183" s="1">
        <v>182</v>
      </c>
      <c r="B183" s="1" t="s">
        <v>219</v>
      </c>
      <c r="C183" s="1">
        <v>2</v>
      </c>
      <c r="D183" s="4" t="s">
        <v>258</v>
      </c>
      <c r="E183" s="4" t="s">
        <v>259</v>
      </c>
      <c r="F183" s="4" t="s">
        <v>244</v>
      </c>
      <c r="G183" s="7" t="s">
        <v>245</v>
      </c>
      <c r="H183" s="7" t="s">
        <v>270</v>
      </c>
      <c r="I183" s="1">
        <v>3.48</v>
      </c>
      <c r="J183" s="5">
        <f t="shared" si="6"/>
        <v>7.7654304458428181</v>
      </c>
      <c r="K183" s="6">
        <f t="shared" si="7"/>
        <v>5.1510344827586199</v>
      </c>
      <c r="L183" s="6">
        <f t="shared" si="8"/>
        <v>4.8489655172413801</v>
      </c>
      <c r="M183" s="5">
        <v>10</v>
      </c>
    </row>
    <row r="184" spans="1:13" x14ac:dyDescent="0.15">
      <c r="A184" s="1">
        <v>183</v>
      </c>
      <c r="B184" s="1" t="s">
        <v>220</v>
      </c>
      <c r="C184" s="1">
        <v>2</v>
      </c>
      <c r="D184" s="4" t="s">
        <v>260</v>
      </c>
      <c r="E184" s="4" t="s">
        <v>261</v>
      </c>
      <c r="F184" s="4" t="s">
        <v>244</v>
      </c>
      <c r="G184" s="7" t="s">
        <v>245</v>
      </c>
      <c r="H184" s="7" t="s">
        <v>270</v>
      </c>
      <c r="I184" s="1">
        <v>10.199999999999999</v>
      </c>
      <c r="J184" s="5">
        <f t="shared" si="6"/>
        <v>22.760744410228945</v>
      </c>
      <c r="K184" s="6">
        <f t="shared" si="7"/>
        <v>1.7574117647058825</v>
      </c>
      <c r="L184" s="6">
        <f t="shared" si="8"/>
        <v>8.242588235294118</v>
      </c>
      <c r="M184" s="5">
        <v>10</v>
      </c>
    </row>
    <row r="185" spans="1:13" x14ac:dyDescent="0.15">
      <c r="A185" s="1">
        <v>184</v>
      </c>
      <c r="B185" s="1" t="s">
        <v>221</v>
      </c>
      <c r="C185" s="1">
        <v>2</v>
      </c>
      <c r="D185" s="4" t="s">
        <v>262</v>
      </c>
      <c r="E185" s="4" t="s">
        <v>263</v>
      </c>
      <c r="F185" s="4" t="s">
        <v>244</v>
      </c>
      <c r="G185" s="7" t="s">
        <v>245</v>
      </c>
      <c r="H185" s="7" t="s">
        <v>270</v>
      </c>
      <c r="I185" s="1">
        <v>24</v>
      </c>
      <c r="J185" s="5">
        <f t="shared" si="6"/>
        <v>53.554692729950467</v>
      </c>
      <c r="K185" s="6">
        <f t="shared" si="7"/>
        <v>0.7468999999999999</v>
      </c>
      <c r="L185" s="6">
        <f t="shared" si="8"/>
        <v>9.2530999999999999</v>
      </c>
      <c r="M185" s="5">
        <v>10</v>
      </c>
    </row>
    <row r="186" spans="1:13" x14ac:dyDescent="0.15">
      <c r="A186" s="1">
        <v>185</v>
      </c>
      <c r="B186" s="1" t="s">
        <v>222</v>
      </c>
      <c r="C186" s="1">
        <v>2</v>
      </c>
      <c r="D186" s="4" t="s">
        <v>248</v>
      </c>
      <c r="E186" s="4" t="s">
        <v>249</v>
      </c>
      <c r="F186" s="4" t="s">
        <v>246</v>
      </c>
      <c r="G186" s="7" t="s">
        <v>247</v>
      </c>
      <c r="H186" s="1" t="s">
        <v>271</v>
      </c>
      <c r="I186" s="1">
        <v>25.7</v>
      </c>
      <c r="J186" s="5">
        <f t="shared" si="6"/>
        <v>57.348150131655281</v>
      </c>
      <c r="K186" s="6">
        <f t="shared" si="7"/>
        <v>0.69749416342412462</v>
      </c>
      <c r="L186" s="6">
        <f t="shared" si="8"/>
        <v>9.3025058365758753</v>
      </c>
      <c r="M186" s="5">
        <v>10</v>
      </c>
    </row>
    <row r="187" spans="1:13" x14ac:dyDescent="0.15">
      <c r="A187" s="1">
        <v>186</v>
      </c>
      <c r="B187" s="1" t="s">
        <v>223</v>
      </c>
      <c r="C187" s="1">
        <v>2</v>
      </c>
      <c r="D187" s="4" t="s">
        <v>250</v>
      </c>
      <c r="E187" s="4" t="s">
        <v>251</v>
      </c>
      <c r="F187" s="4" t="s">
        <v>246</v>
      </c>
      <c r="G187" s="7" t="s">
        <v>247</v>
      </c>
      <c r="H187" s="1" t="s">
        <v>271</v>
      </c>
      <c r="I187" s="1">
        <v>28.8</v>
      </c>
      <c r="J187" s="5">
        <f t="shared" si="6"/>
        <v>64.265631275940564</v>
      </c>
      <c r="K187" s="6">
        <f t="shared" si="7"/>
        <v>0.62241666666666662</v>
      </c>
      <c r="L187" s="6">
        <f t="shared" si="8"/>
        <v>9.3775833333333338</v>
      </c>
      <c r="M187" s="5">
        <v>10</v>
      </c>
    </row>
    <row r="188" spans="1:13" x14ac:dyDescent="0.15">
      <c r="A188" s="1">
        <v>187</v>
      </c>
      <c r="B188" s="1" t="s">
        <v>224</v>
      </c>
      <c r="C188" s="1">
        <v>2</v>
      </c>
      <c r="D188" s="4" t="s">
        <v>252</v>
      </c>
      <c r="E188" s="4" t="s">
        <v>253</v>
      </c>
      <c r="F188" s="4" t="s">
        <v>246</v>
      </c>
      <c r="G188" s="7" t="s">
        <v>247</v>
      </c>
      <c r="H188" s="1" t="s">
        <v>271</v>
      </c>
      <c r="I188" s="1">
        <v>19.899999999999999</v>
      </c>
      <c r="J188" s="5">
        <f t="shared" si="6"/>
        <v>44.405766055250588</v>
      </c>
      <c r="K188" s="6">
        <f t="shared" si="7"/>
        <v>0.90078391959798998</v>
      </c>
      <c r="L188" s="6">
        <f t="shared" si="8"/>
        <v>9.0992160804020106</v>
      </c>
      <c r="M188" s="5">
        <v>10</v>
      </c>
    </row>
    <row r="189" spans="1:13" x14ac:dyDescent="0.15">
      <c r="A189" s="1">
        <v>188</v>
      </c>
      <c r="B189" s="1" t="s">
        <v>225</v>
      </c>
      <c r="C189" s="1">
        <v>2</v>
      </c>
      <c r="D189" s="4" t="s">
        <v>254</v>
      </c>
      <c r="E189" s="4" t="s">
        <v>255</v>
      </c>
      <c r="F189" s="4" t="s">
        <v>246</v>
      </c>
      <c r="G189" s="7" t="s">
        <v>247</v>
      </c>
      <c r="H189" s="1" t="s">
        <v>271</v>
      </c>
      <c r="I189" s="1">
        <v>38.700000000000003</v>
      </c>
      <c r="J189" s="5">
        <f t="shared" si="6"/>
        <v>86.356942027045122</v>
      </c>
      <c r="K189" s="6">
        <f t="shared" si="7"/>
        <v>0.46319379844961239</v>
      </c>
      <c r="L189" s="6">
        <f t="shared" si="8"/>
        <v>9.5368062015503874</v>
      </c>
      <c r="M189" s="5">
        <v>10</v>
      </c>
    </row>
    <row r="190" spans="1:13" x14ac:dyDescent="0.15">
      <c r="A190" s="1">
        <v>189</v>
      </c>
      <c r="B190" s="1" t="s">
        <v>226</v>
      </c>
      <c r="C190" s="1">
        <v>2</v>
      </c>
      <c r="D190" s="4" t="s">
        <v>256</v>
      </c>
      <c r="E190" s="4" t="s">
        <v>257</v>
      </c>
      <c r="F190" s="4" t="s">
        <v>246</v>
      </c>
      <c r="G190" s="7" t="s">
        <v>247</v>
      </c>
      <c r="H190" s="1" t="s">
        <v>271</v>
      </c>
      <c r="I190" s="1">
        <v>19.2</v>
      </c>
      <c r="J190" s="5">
        <f t="shared" si="6"/>
        <v>42.843754183960371</v>
      </c>
      <c r="K190" s="6">
        <f t="shared" si="7"/>
        <v>0.93362499999999993</v>
      </c>
      <c r="L190" s="6">
        <f t="shared" si="8"/>
        <v>9.0663750000000007</v>
      </c>
      <c r="M190" s="5">
        <v>10</v>
      </c>
    </row>
    <row r="191" spans="1:13" x14ac:dyDescent="0.15">
      <c r="A191" s="1">
        <v>190</v>
      </c>
      <c r="B191" s="1" t="s">
        <v>227</v>
      </c>
      <c r="C191" s="1">
        <v>2</v>
      </c>
      <c r="D191" s="4" t="s">
        <v>258</v>
      </c>
      <c r="E191" s="4" t="s">
        <v>259</v>
      </c>
      <c r="F191" s="4" t="s">
        <v>246</v>
      </c>
      <c r="G191" s="7" t="s">
        <v>247</v>
      </c>
      <c r="H191" s="1" t="s">
        <v>271</v>
      </c>
      <c r="I191" s="1">
        <v>28</v>
      </c>
      <c r="J191" s="5">
        <f t="shared" si="6"/>
        <v>62.480474851608875</v>
      </c>
      <c r="K191" s="6">
        <f t="shared" si="7"/>
        <v>0.64019999999999999</v>
      </c>
      <c r="L191" s="6">
        <f t="shared" si="8"/>
        <v>9.3597999999999999</v>
      </c>
      <c r="M191" s="5">
        <v>10</v>
      </c>
    </row>
    <row r="192" spans="1:13" x14ac:dyDescent="0.15">
      <c r="A192" s="1">
        <v>191</v>
      </c>
      <c r="B192" s="1" t="s">
        <v>228</v>
      </c>
      <c r="C192" s="1">
        <v>2</v>
      </c>
      <c r="D192" s="4" t="s">
        <v>260</v>
      </c>
      <c r="E192" s="4" t="s">
        <v>261</v>
      </c>
      <c r="F192" s="4" t="s">
        <v>246</v>
      </c>
      <c r="G192" s="7" t="s">
        <v>247</v>
      </c>
      <c r="H192" s="1" t="s">
        <v>271</v>
      </c>
      <c r="I192" s="1">
        <v>23.9</v>
      </c>
      <c r="J192" s="5">
        <f t="shared" si="6"/>
        <v>53.331548176908996</v>
      </c>
      <c r="K192" s="6">
        <f t="shared" si="7"/>
        <v>0.75002510460251059</v>
      </c>
      <c r="L192" s="6">
        <f t="shared" si="8"/>
        <v>9.2499748953974894</v>
      </c>
      <c r="M192" s="5">
        <v>10</v>
      </c>
    </row>
    <row r="193" spans="1:13" x14ac:dyDescent="0.15">
      <c r="A193" s="1">
        <v>192</v>
      </c>
      <c r="B193" s="1" t="s">
        <v>229</v>
      </c>
      <c r="C193" s="1">
        <v>2</v>
      </c>
      <c r="D193" s="4" t="s">
        <v>262</v>
      </c>
      <c r="E193" s="4" t="s">
        <v>263</v>
      </c>
      <c r="F193" s="4" t="s">
        <v>246</v>
      </c>
      <c r="G193" s="7" t="s">
        <v>247</v>
      </c>
      <c r="H193" s="1" t="s">
        <v>271</v>
      </c>
      <c r="I193" s="1">
        <v>3.13</v>
      </c>
      <c r="J193" s="5">
        <f t="shared" si="6"/>
        <v>6.984424510197706</v>
      </c>
      <c r="K193" s="6">
        <f t="shared" si="7"/>
        <v>5.7270287539936104</v>
      </c>
      <c r="L193" s="6">
        <f t="shared" si="8"/>
        <v>4.2729712460063896</v>
      </c>
      <c r="M193" s="5">
        <v>10</v>
      </c>
    </row>
    <row r="194" spans="1:13" x14ac:dyDescent="0.15">
      <c r="A194" s="8"/>
      <c r="B194" s="8"/>
      <c r="C194" s="8"/>
      <c r="D194" s="8"/>
      <c r="E194" s="8"/>
      <c r="F194" s="8"/>
      <c r="G194" s="8"/>
      <c r="H194" s="1" t="s">
        <v>272</v>
      </c>
      <c r="I194" s="1">
        <v>1.92</v>
      </c>
      <c r="J194" s="5">
        <f t="shared" si="6"/>
        <v>4.2843754183960367</v>
      </c>
      <c r="K194" s="6">
        <f t="shared" si="7"/>
        <v>0</v>
      </c>
      <c r="L194" s="6">
        <f t="shared" si="8"/>
        <v>0</v>
      </c>
      <c r="M194" s="8"/>
    </row>
    <row r="195" spans="1:13" x14ac:dyDescent="0.15">
      <c r="J195" s="5"/>
    </row>
    <row r="196" spans="1:13" x14ac:dyDescent="0.15">
      <c r="B196" s="1" t="s">
        <v>17</v>
      </c>
      <c r="D196" s="1">
        <v>679</v>
      </c>
      <c r="H196" s="1" t="s">
        <v>287</v>
      </c>
      <c r="I196" s="1">
        <v>1.3779600000000001</v>
      </c>
      <c r="J196" s="5">
        <f t="shared" ref="J196" si="9">((I196)/(660*679))*10^6</f>
        <v>3.0748426830901057</v>
      </c>
    </row>
  </sheetData>
  <pageMargins left="0.7" right="0.7" top="0.75" bottom="0.75" header="0.3" footer="0.3"/>
  <pageSetup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5ED54-1121-6B40-A352-AC5F3FC79B6C}">
  <dimension ref="A1:M43"/>
  <sheetViews>
    <sheetView workbookViewId="0">
      <selection activeCell="R22" sqref="R22"/>
    </sheetView>
  </sheetViews>
  <sheetFormatPr baseColWidth="10" defaultColWidth="11" defaultRowHeight="16" x14ac:dyDescent="0.2"/>
  <cols>
    <col min="1" max="1" width="2.5" style="10" bestFit="1" customWidth="1"/>
    <col min="2" max="13" width="3.6640625" style="9" bestFit="1" customWidth="1"/>
    <col min="14" max="16384" width="11" style="9"/>
  </cols>
  <sheetData>
    <row r="1" spans="1:13" x14ac:dyDescent="0.2">
      <c r="A1" s="11" t="s">
        <v>284</v>
      </c>
    </row>
    <row r="2" spans="1:13" x14ac:dyDescent="0.2"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13">
        <v>10</v>
      </c>
      <c r="L2" s="13">
        <v>11</v>
      </c>
      <c r="M2" s="13">
        <v>12</v>
      </c>
    </row>
    <row r="3" spans="1:13" x14ac:dyDescent="0.2">
      <c r="A3" s="14" t="s">
        <v>275</v>
      </c>
      <c r="B3" s="9">
        <v>3.7541463414634153</v>
      </c>
      <c r="C3" s="9">
        <v>7.6003212851405619</v>
      </c>
      <c r="D3" s="9">
        <v>0.99216080402009865</v>
      </c>
      <c r="E3" s="9">
        <v>3.6434042553191484</v>
      </c>
      <c r="F3" s="9">
        <v>7.3677533039647578</v>
      </c>
      <c r="G3" s="9">
        <v>7.8219198055893076</v>
      </c>
      <c r="H3" s="9">
        <v>2.4682352941176475</v>
      </c>
      <c r="I3" s="9">
        <v>3.5286642599277984</v>
      </c>
      <c r="J3" s="9">
        <v>7.2379661016949157</v>
      </c>
      <c r="K3" s="9">
        <v>8.8049599999999995</v>
      </c>
      <c r="L3" s="9">
        <v>9.0041333333333338</v>
      </c>
      <c r="M3" s="9">
        <v>7.7951291512915128</v>
      </c>
    </row>
    <row r="4" spans="1:13" x14ac:dyDescent="0.2">
      <c r="A4" s="14" t="s">
        <v>276</v>
      </c>
      <c r="B4" s="12" t="s">
        <v>274</v>
      </c>
      <c r="C4" s="9">
        <v>1.8147945205479452</v>
      </c>
      <c r="D4" s="9">
        <v>6.1533047210300431</v>
      </c>
      <c r="E4" s="9">
        <v>6.8661538461538463</v>
      </c>
      <c r="F4" s="9">
        <v>8.385081081081081</v>
      </c>
      <c r="G4" s="9">
        <v>8.8206842105263163</v>
      </c>
      <c r="H4" s="9">
        <v>6.8606654991243436</v>
      </c>
      <c r="I4" s="9">
        <v>5.1289130434782608</v>
      </c>
      <c r="J4" s="9">
        <v>4.4844307692307694</v>
      </c>
      <c r="K4" s="9">
        <v>8.8509230769230776</v>
      </c>
      <c r="L4" s="9">
        <v>8.3994999999999997</v>
      </c>
      <c r="M4" s="9">
        <v>8.9929438202247187</v>
      </c>
    </row>
    <row r="5" spans="1:13" x14ac:dyDescent="0.2">
      <c r="A5" s="14" t="s">
        <v>277</v>
      </c>
      <c r="B5" s="12" t="s">
        <v>274</v>
      </c>
      <c r="C5" s="9">
        <v>1.5445283018867926</v>
      </c>
      <c r="D5" s="9">
        <v>2.5619917012448132</v>
      </c>
      <c r="E5" s="9">
        <v>7.1546666666666665</v>
      </c>
      <c r="F5" s="9">
        <v>8.1011016949152541</v>
      </c>
      <c r="G5" s="9">
        <v>3.7103157894736842</v>
      </c>
      <c r="H5" s="9">
        <v>1.1259405940594061</v>
      </c>
      <c r="I5" s="12" t="s">
        <v>274</v>
      </c>
      <c r="J5" s="9">
        <v>2.5927272727272737</v>
      </c>
      <c r="K5" s="9">
        <v>8.8654683544303801</v>
      </c>
      <c r="L5" s="9">
        <v>7.3482840236686391</v>
      </c>
      <c r="M5" s="9">
        <v>8.6819411764705876</v>
      </c>
    </row>
    <row r="6" spans="1:13" x14ac:dyDescent="0.2">
      <c r="A6" s="14" t="s">
        <v>278</v>
      </c>
      <c r="B6" s="12" t="s">
        <v>274</v>
      </c>
      <c r="C6" s="9">
        <v>4.6330538922155684</v>
      </c>
      <c r="D6" s="9">
        <v>7.7106513409961686</v>
      </c>
      <c r="E6" s="9">
        <v>8.542634146341463</v>
      </c>
      <c r="F6" s="9">
        <v>7.1815094339622645</v>
      </c>
      <c r="G6" s="9">
        <v>4.8191907514450874</v>
      </c>
      <c r="H6" s="9">
        <v>4.5181651376146785</v>
      </c>
      <c r="I6" s="9">
        <v>5.659661016949153</v>
      </c>
      <c r="J6" s="9">
        <v>2.653442622950819</v>
      </c>
      <c r="K6" s="9">
        <v>8.0662783171521042</v>
      </c>
      <c r="L6" s="9">
        <v>8.6104186046511622</v>
      </c>
      <c r="M6" s="9">
        <v>7.0947163695299835</v>
      </c>
    </row>
    <row r="7" spans="1:13" x14ac:dyDescent="0.2">
      <c r="A7" s="14" t="s">
        <v>279</v>
      </c>
      <c r="B7" s="9">
        <v>1.5445283018867926</v>
      </c>
      <c r="C7" s="9">
        <v>5.3560621761658034</v>
      </c>
      <c r="D7" s="9">
        <v>7.3638823529411761</v>
      </c>
      <c r="E7" s="9">
        <v>8.1948036253776433</v>
      </c>
      <c r="F7" s="9">
        <v>8.0848717948717947</v>
      </c>
      <c r="G7" s="9">
        <v>3.9644444444444451</v>
      </c>
      <c r="H7" s="9">
        <v>7.0517105263157891</v>
      </c>
      <c r="I7" s="9">
        <v>4.0048160535117061</v>
      </c>
      <c r="J7" s="9">
        <v>1.6625116279069765</v>
      </c>
      <c r="K7" s="9">
        <v>9.0204590163934419</v>
      </c>
      <c r="L7" s="9">
        <v>9.1381923076923073</v>
      </c>
      <c r="M7" s="9">
        <v>9.3840000000000003</v>
      </c>
    </row>
    <row r="8" spans="1:13" x14ac:dyDescent="0.2">
      <c r="A8" s="14" t="s">
        <v>280</v>
      </c>
      <c r="B8" s="9">
        <v>0.99216080402009865</v>
      </c>
      <c r="C8" s="12" t="s">
        <v>274</v>
      </c>
      <c r="D8" s="9">
        <v>4.39825</v>
      </c>
      <c r="E8" s="9">
        <v>8.2251881188118823</v>
      </c>
      <c r="F8" s="9">
        <v>8.9578139534883725</v>
      </c>
      <c r="G8" s="9">
        <v>2.1722270742358081</v>
      </c>
      <c r="H8" s="9">
        <v>7.4823595505617977</v>
      </c>
      <c r="I8" s="9">
        <v>7.2881089258698939</v>
      </c>
      <c r="J8" s="9">
        <v>2.7719354838709673</v>
      </c>
      <c r="K8" s="9">
        <v>8.8435096774193553</v>
      </c>
      <c r="L8" s="9">
        <v>9.0204590163934419</v>
      </c>
      <c r="M8" s="9">
        <v>7.9443119266055051</v>
      </c>
    </row>
    <row r="9" spans="1:13" x14ac:dyDescent="0.2">
      <c r="A9" s="14" t="s">
        <v>281</v>
      </c>
      <c r="B9" s="9">
        <v>5.562970297029703</v>
      </c>
      <c r="C9" s="9">
        <v>4.8041739130434786</v>
      </c>
      <c r="D9" s="9">
        <v>6.8770731707317072</v>
      </c>
      <c r="E9" s="9">
        <v>8.8049599999999995</v>
      </c>
      <c r="F9" s="9">
        <v>8.8866086956521748</v>
      </c>
      <c r="G9" s="9">
        <v>3.3608888888888888</v>
      </c>
      <c r="H9" s="9">
        <v>4.9647191011235963</v>
      </c>
      <c r="I9" s="9">
        <v>5.8886238532110102</v>
      </c>
      <c r="J9" s="9">
        <v>8.5885354330708665</v>
      </c>
      <c r="K9" s="9">
        <v>9.3078918918918916</v>
      </c>
      <c r="L9" s="9">
        <v>8.7195999999999998</v>
      </c>
      <c r="M9" s="9">
        <v>9.0946666666666669</v>
      </c>
    </row>
    <row r="10" spans="1:13" x14ac:dyDescent="0.2">
      <c r="A10" s="14" t="s">
        <v>282</v>
      </c>
      <c r="B10" s="9">
        <v>2.3066094420600853</v>
      </c>
      <c r="C10" s="9">
        <v>8.7464615384615385</v>
      </c>
      <c r="D10" s="9">
        <v>2.7131707317073168</v>
      </c>
      <c r="E10" s="9">
        <v>7.9813513513513517</v>
      </c>
      <c r="F10" s="9">
        <v>8.9815000000000005</v>
      </c>
      <c r="G10" s="12" t="s">
        <v>274</v>
      </c>
      <c r="H10" s="9">
        <v>5.5956756756756763</v>
      </c>
      <c r="I10" s="9">
        <v>8.7010434782608694</v>
      </c>
      <c r="J10" s="9">
        <v>0.85428571428571232</v>
      </c>
      <c r="K10" s="9">
        <v>9.1623551401869161</v>
      </c>
      <c r="L10" s="9">
        <v>9.3158167938931289</v>
      </c>
      <c r="M10" s="9">
        <v>1.9975000000000005</v>
      </c>
    </row>
    <row r="11" spans="1:13" x14ac:dyDescent="0.2">
      <c r="A11" s="14"/>
      <c r="G11" s="12"/>
    </row>
    <row r="12" spans="1:13" x14ac:dyDescent="0.2">
      <c r="A12" s="11" t="s">
        <v>283</v>
      </c>
    </row>
    <row r="13" spans="1:13" x14ac:dyDescent="0.2">
      <c r="B13" s="13">
        <v>1</v>
      </c>
      <c r="C13" s="13">
        <v>2</v>
      </c>
      <c r="D13" s="13">
        <v>3</v>
      </c>
      <c r="E13" s="13">
        <v>4</v>
      </c>
      <c r="F13" s="13">
        <v>5</v>
      </c>
      <c r="G13" s="13">
        <v>6</v>
      </c>
      <c r="H13" s="13">
        <v>7</v>
      </c>
      <c r="I13" s="13">
        <v>8</v>
      </c>
      <c r="J13" s="13">
        <v>9</v>
      </c>
      <c r="K13" s="13">
        <v>10</v>
      </c>
      <c r="L13" s="13">
        <v>11</v>
      </c>
      <c r="M13" s="13">
        <v>12</v>
      </c>
    </row>
    <row r="14" spans="1:13" x14ac:dyDescent="0.2">
      <c r="A14" s="14" t="s">
        <v>275</v>
      </c>
      <c r="B14" s="9">
        <v>6.2458536585365847</v>
      </c>
      <c r="C14" s="9">
        <v>2.3996787148594381</v>
      </c>
      <c r="D14" s="9">
        <v>9.0078391959799013</v>
      </c>
      <c r="E14" s="9">
        <v>6.3565957446808516</v>
      </c>
      <c r="F14" s="9">
        <v>2.6322466960352426</v>
      </c>
      <c r="G14" s="9">
        <v>2.1780801944106924</v>
      </c>
      <c r="H14" s="9">
        <v>7.5317647058823525</v>
      </c>
      <c r="I14" s="9">
        <v>6.4713357400722016</v>
      </c>
      <c r="J14" s="9">
        <v>2.7620338983050843</v>
      </c>
      <c r="K14" s="9">
        <v>1.1950400000000001</v>
      </c>
      <c r="L14" s="9">
        <v>0.99586666666666668</v>
      </c>
      <c r="M14" s="9">
        <v>2.2048708487084872</v>
      </c>
    </row>
    <row r="15" spans="1:13" x14ac:dyDescent="0.2">
      <c r="A15" s="14" t="s">
        <v>276</v>
      </c>
      <c r="B15" s="12" t="s">
        <v>274</v>
      </c>
      <c r="C15" s="9">
        <v>8.1852054794520548</v>
      </c>
      <c r="D15" s="9">
        <v>3.8466952789699573</v>
      </c>
      <c r="E15" s="9">
        <v>3.1338461538461542</v>
      </c>
      <c r="F15" s="9">
        <v>1.614918918918919</v>
      </c>
      <c r="G15" s="9">
        <v>1.1793157894736843</v>
      </c>
      <c r="H15" s="9">
        <v>3.1393345008756564</v>
      </c>
      <c r="I15" s="9">
        <v>4.8710869565217392</v>
      </c>
      <c r="J15" s="9">
        <v>5.5155692307692306</v>
      </c>
      <c r="K15" s="9">
        <v>1.1490769230769231</v>
      </c>
      <c r="L15" s="9">
        <v>1.6005000000000003</v>
      </c>
      <c r="M15" s="9">
        <v>1.0070561797752811</v>
      </c>
    </row>
    <row r="16" spans="1:13" x14ac:dyDescent="0.2">
      <c r="A16" s="14" t="s">
        <v>277</v>
      </c>
      <c r="B16" s="12" t="s">
        <v>274</v>
      </c>
      <c r="C16" s="9">
        <v>8.4554716981132074</v>
      </c>
      <c r="D16" s="9">
        <v>7.4380082987551868</v>
      </c>
      <c r="E16" s="9">
        <v>2.8453333333333335</v>
      </c>
      <c r="F16" s="9">
        <v>1.8988983050847459</v>
      </c>
      <c r="G16" s="9">
        <v>6.2896842105263158</v>
      </c>
      <c r="H16" s="9">
        <v>8.8740594059405939</v>
      </c>
      <c r="I16" s="12" t="s">
        <v>274</v>
      </c>
      <c r="J16" s="9">
        <v>7.4072727272727263</v>
      </c>
      <c r="K16" s="9">
        <v>1.1345316455696202</v>
      </c>
      <c r="L16" s="9">
        <v>2.6517159763313609</v>
      </c>
      <c r="M16" s="9">
        <v>1.3180588235294119</v>
      </c>
    </row>
    <row r="17" spans="1:13" x14ac:dyDescent="0.2">
      <c r="A17" s="14" t="s">
        <v>278</v>
      </c>
      <c r="B17" s="12" t="s">
        <v>274</v>
      </c>
      <c r="C17" s="9">
        <v>5.3669461077844316</v>
      </c>
      <c r="D17" s="9">
        <v>2.2893486590038314</v>
      </c>
      <c r="E17" s="9">
        <v>1.4573658536585365</v>
      </c>
      <c r="F17" s="9">
        <v>2.8184905660377355</v>
      </c>
      <c r="G17" s="9">
        <v>5.1808092485549126</v>
      </c>
      <c r="H17" s="9">
        <v>5.4818348623853215</v>
      </c>
      <c r="I17" s="9">
        <v>4.340338983050847</v>
      </c>
      <c r="J17" s="9">
        <v>7.346557377049181</v>
      </c>
      <c r="K17" s="9">
        <v>1.9337216828478965</v>
      </c>
      <c r="L17" s="9">
        <v>1.389581395348837</v>
      </c>
      <c r="M17" s="9">
        <v>2.9052836304700165</v>
      </c>
    </row>
    <row r="18" spans="1:13" x14ac:dyDescent="0.2">
      <c r="A18" s="14" t="s">
        <v>279</v>
      </c>
      <c r="B18" s="9">
        <v>8.4554716981132074</v>
      </c>
      <c r="C18" s="9">
        <v>4.6439378238341966</v>
      </c>
      <c r="D18" s="9">
        <v>2.6361176470588239</v>
      </c>
      <c r="E18" s="9">
        <v>1.8051963746223563</v>
      </c>
      <c r="F18" s="9">
        <v>1.9151282051282053</v>
      </c>
      <c r="G18" s="9">
        <v>6.0355555555555549</v>
      </c>
      <c r="H18" s="9">
        <v>2.9482894736842105</v>
      </c>
      <c r="I18" s="9">
        <v>5.9951839464882939</v>
      </c>
      <c r="J18" s="9">
        <v>8.3374883720930235</v>
      </c>
      <c r="K18" s="9">
        <v>0.97954098360655739</v>
      </c>
      <c r="L18" s="9">
        <v>0.86180769230769227</v>
      </c>
      <c r="M18" s="9">
        <v>0.6160000000000001</v>
      </c>
    </row>
    <row r="19" spans="1:13" x14ac:dyDescent="0.2">
      <c r="A19" s="14" t="s">
        <v>280</v>
      </c>
      <c r="B19" s="9">
        <v>9.0078391959799013</v>
      </c>
      <c r="C19" s="12" t="s">
        <v>274</v>
      </c>
      <c r="D19" s="9">
        <v>5.60175</v>
      </c>
      <c r="E19" s="9">
        <v>1.7748118811881186</v>
      </c>
      <c r="F19" s="9">
        <v>1.0421860465116279</v>
      </c>
      <c r="G19" s="9">
        <v>7.8277729257641919</v>
      </c>
      <c r="H19" s="9">
        <v>2.5176404494382019</v>
      </c>
      <c r="I19" s="9">
        <v>2.7118910741301057</v>
      </c>
      <c r="J19" s="9">
        <v>7.2280645161290327</v>
      </c>
      <c r="K19" s="9">
        <v>1.1564903225806453</v>
      </c>
      <c r="L19" s="9">
        <v>0.97954098360655739</v>
      </c>
      <c r="M19" s="9">
        <v>2.0556880733944949</v>
      </c>
    </row>
    <row r="20" spans="1:13" x14ac:dyDescent="0.2">
      <c r="A20" s="14" t="s">
        <v>281</v>
      </c>
      <c r="B20" s="9">
        <v>4.437029702970297</v>
      </c>
      <c r="C20" s="9">
        <v>5.1958260869565214</v>
      </c>
      <c r="D20" s="9">
        <v>3.1229268292682923</v>
      </c>
      <c r="E20" s="9">
        <v>1.1950400000000001</v>
      </c>
      <c r="F20" s="9">
        <v>1.1133913043478261</v>
      </c>
      <c r="G20" s="9">
        <v>6.6391111111111112</v>
      </c>
      <c r="H20" s="9">
        <v>5.0352808988764037</v>
      </c>
      <c r="I20" s="9">
        <v>4.1113761467889898</v>
      </c>
      <c r="J20" s="9">
        <v>1.4114645669291339</v>
      </c>
      <c r="K20" s="9">
        <v>0.69210810810810819</v>
      </c>
      <c r="L20" s="9">
        <v>1.2804</v>
      </c>
      <c r="M20" s="9">
        <v>0.90533333333333332</v>
      </c>
    </row>
    <row r="21" spans="1:13" x14ac:dyDescent="0.2">
      <c r="A21" s="14" t="s">
        <v>282</v>
      </c>
      <c r="B21" s="9">
        <v>7.6933905579399147</v>
      </c>
      <c r="C21" s="9">
        <v>1.2535384615384615</v>
      </c>
      <c r="D21" s="9">
        <v>7.2868292682926832</v>
      </c>
      <c r="E21" s="9">
        <v>2.0186486486486483</v>
      </c>
      <c r="F21" s="9">
        <v>1.0185</v>
      </c>
      <c r="G21" s="12" t="s">
        <v>274</v>
      </c>
      <c r="H21" s="9">
        <v>4.4043243243243237</v>
      </c>
      <c r="I21" s="9">
        <v>1.2989565217391303</v>
      </c>
      <c r="J21" s="9">
        <v>9.1457142857142877</v>
      </c>
      <c r="K21" s="9">
        <v>0.83764485981308423</v>
      </c>
      <c r="L21" s="9">
        <v>0.68418320610687033</v>
      </c>
      <c r="M21" s="9">
        <v>8.0024999999999995</v>
      </c>
    </row>
    <row r="23" spans="1:13" x14ac:dyDescent="0.2">
      <c r="A23" s="11" t="s">
        <v>285</v>
      </c>
    </row>
    <row r="24" spans="1:13" x14ac:dyDescent="0.2">
      <c r="B24" s="13">
        <v>1</v>
      </c>
      <c r="C24" s="13">
        <v>2</v>
      </c>
      <c r="D24" s="13">
        <v>3</v>
      </c>
      <c r="E24" s="13">
        <v>4</v>
      </c>
      <c r="F24" s="13">
        <v>5</v>
      </c>
      <c r="G24" s="13">
        <v>6</v>
      </c>
      <c r="H24" s="13">
        <v>7</v>
      </c>
      <c r="I24" s="13">
        <v>8</v>
      </c>
      <c r="J24" s="13">
        <v>9</v>
      </c>
      <c r="K24" s="13">
        <v>10</v>
      </c>
      <c r="L24" s="13">
        <v>11</v>
      </c>
      <c r="M24" s="13">
        <v>12</v>
      </c>
    </row>
    <row r="25" spans="1:13" x14ac:dyDescent="0.2">
      <c r="A25" s="14" t="s">
        <v>275</v>
      </c>
      <c r="B25" s="16">
        <v>6.7408000000000001</v>
      </c>
      <c r="C25" s="16">
        <v>8.8283921568627459</v>
      </c>
      <c r="D25" s="16">
        <v>7.8985228604923794</v>
      </c>
      <c r="E25" s="16">
        <v>8.4136637168141597</v>
      </c>
      <c r="F25" s="16">
        <v>9.0992160804020106</v>
      </c>
      <c r="G25" s="16">
        <v>9.1463999999999999</v>
      </c>
      <c r="H25" s="16">
        <v>8.8435096774193553</v>
      </c>
      <c r="I25" s="16">
        <v>8.5773333333333337</v>
      </c>
      <c r="J25" s="16">
        <v>8.8049599999999995</v>
      </c>
      <c r="K25" s="16">
        <v>9.4141960784313721</v>
      </c>
      <c r="L25" s="16">
        <v>9.288666666666666</v>
      </c>
      <c r="M25" s="16">
        <v>9.3025058365758753</v>
      </c>
    </row>
    <row r="26" spans="1:13" x14ac:dyDescent="0.2">
      <c r="A26" s="14" t="s">
        <v>276</v>
      </c>
      <c r="B26" s="16">
        <v>8.3554495412844041</v>
      </c>
      <c r="C26" s="16">
        <v>8.4136637168141597</v>
      </c>
      <c r="D26" s="16">
        <v>9.1814794520547949</v>
      </c>
      <c r="E26" s="16">
        <v>7.9767945823927757</v>
      </c>
      <c r="F26" s="16">
        <v>8.0745864661654139</v>
      </c>
      <c r="G26" s="16">
        <v>7.8271999999999995</v>
      </c>
      <c r="H26" s="16">
        <v>8.9872542372881359</v>
      </c>
      <c r="I26" s="16">
        <v>8.7286808510638298</v>
      </c>
      <c r="J26" s="16">
        <v>7.3907423580786027</v>
      </c>
      <c r="K26" s="16">
        <v>9.3505217391304356</v>
      </c>
      <c r="L26" s="16">
        <v>8.7551666666666677</v>
      </c>
      <c r="M26" s="16">
        <v>9.3775833333333338</v>
      </c>
    </row>
    <row r="27" spans="1:13" x14ac:dyDescent="0.2">
      <c r="A27" s="14" t="s">
        <v>277</v>
      </c>
      <c r="B27" s="16">
        <v>7.3205381165919281</v>
      </c>
      <c r="C27" s="16">
        <v>9.056547368421052</v>
      </c>
      <c r="D27" s="16">
        <v>7.2294281298299845</v>
      </c>
      <c r="E27" s="16">
        <v>4.1610423452768721</v>
      </c>
      <c r="F27" s="16">
        <v>7.8428880866425992</v>
      </c>
      <c r="G27" s="16">
        <v>8.9455529411764712</v>
      </c>
      <c r="H27" s="16">
        <v>8.5061999999999998</v>
      </c>
      <c r="I27" s="16">
        <v>8.9815000000000005</v>
      </c>
      <c r="J27" s="16">
        <v>8.9756800000000005</v>
      </c>
      <c r="K27" s="16">
        <v>9.4878400000000003</v>
      </c>
      <c r="L27" s="16">
        <v>9.43273417721519</v>
      </c>
      <c r="M27" s="16">
        <v>9.0992160804020106</v>
      </c>
    </row>
    <row r="28" spans="1:13" x14ac:dyDescent="0.2">
      <c r="A28" s="14" t="s">
        <v>278</v>
      </c>
      <c r="B28" s="12" t="s">
        <v>274</v>
      </c>
      <c r="C28" s="16">
        <v>8.6211076923076924</v>
      </c>
      <c r="D28" s="16">
        <v>7.4823595505617977</v>
      </c>
      <c r="E28" s="16">
        <v>3.6658657243816259</v>
      </c>
      <c r="F28" s="16">
        <v>6.407695390781563</v>
      </c>
      <c r="G28" s="16">
        <v>6.893310225303293</v>
      </c>
      <c r="H28" s="16">
        <v>8.9638381502890176</v>
      </c>
      <c r="I28" s="16">
        <v>8.969793103448275</v>
      </c>
      <c r="J28" s="16">
        <v>8.763751724137931</v>
      </c>
      <c r="K28" s="16">
        <v>9.4649074626865666</v>
      </c>
      <c r="L28" s="16">
        <v>9.3818758620689664</v>
      </c>
      <c r="M28" s="16">
        <v>9.5368062015503874</v>
      </c>
    </row>
    <row r="29" spans="1:13" x14ac:dyDescent="0.2">
      <c r="A29" s="14" t="s">
        <v>279</v>
      </c>
      <c r="B29" s="16">
        <v>8.0082666666666675</v>
      </c>
      <c r="C29" s="16">
        <v>8.7969395973154363</v>
      </c>
      <c r="D29" s="16">
        <v>8.4678974358974362</v>
      </c>
      <c r="E29" s="16">
        <v>8.4136637168141597</v>
      </c>
      <c r="F29" s="16">
        <v>8.6622686567164173</v>
      </c>
      <c r="G29" s="16">
        <v>9.1037199999999991</v>
      </c>
      <c r="H29" s="16">
        <v>8.9266107784431128</v>
      </c>
      <c r="I29" s="16">
        <v>8.4808813559322029</v>
      </c>
      <c r="J29" s="16">
        <v>8.4136637168141597</v>
      </c>
      <c r="K29" s="16">
        <v>9.0900710659898483</v>
      </c>
      <c r="L29" s="16">
        <v>6.2963636363636368</v>
      </c>
      <c r="M29" s="16">
        <v>9.0663750000000007</v>
      </c>
    </row>
    <row r="30" spans="1:13" x14ac:dyDescent="0.2">
      <c r="A30" s="14" t="s">
        <v>280</v>
      </c>
      <c r="B30" s="16">
        <v>8.7286808510638298</v>
      </c>
      <c r="C30" s="16">
        <v>9.0946666666666669</v>
      </c>
      <c r="D30" s="16">
        <v>8.6819411764705876</v>
      </c>
      <c r="E30" s="16">
        <v>7.7732173913043479</v>
      </c>
      <c r="F30" s="16">
        <v>9.0150769230769239</v>
      </c>
      <c r="G30" s="16">
        <v>8.9201445783132538</v>
      </c>
      <c r="H30" s="16">
        <v>6.4782711198428293</v>
      </c>
      <c r="I30" s="16">
        <v>6.7759712230215827</v>
      </c>
      <c r="J30" s="16">
        <v>9.0362580645161295</v>
      </c>
      <c r="K30" s="16">
        <v>8.7551666666666677</v>
      </c>
      <c r="L30" s="16">
        <v>4.8489655172413801</v>
      </c>
      <c r="M30" s="16">
        <v>9.3597999999999999</v>
      </c>
    </row>
    <row r="31" spans="1:13" x14ac:dyDescent="0.2">
      <c r="A31" s="14" t="s">
        <v>281</v>
      </c>
      <c r="B31" s="16">
        <v>9.2103259911894266</v>
      </c>
      <c r="C31" s="16">
        <v>8.9638381502890176</v>
      </c>
      <c r="D31" s="16">
        <v>8.8934814814814818</v>
      </c>
      <c r="E31" s="16">
        <v>6.407695390781563</v>
      </c>
      <c r="F31" s="16">
        <v>7.8786272189349109</v>
      </c>
      <c r="G31" s="16">
        <v>6.5394594594594588</v>
      </c>
      <c r="H31" s="16">
        <v>8.9136000000000006</v>
      </c>
      <c r="I31" s="16">
        <v>8.9985698324022341</v>
      </c>
      <c r="J31" s="16">
        <v>8.4136637168141597</v>
      </c>
      <c r="K31" s="16">
        <v>9.2530999999999999</v>
      </c>
      <c r="L31" s="16">
        <v>8.242588235294118</v>
      </c>
      <c r="M31" s="16">
        <v>9.2499748953974894</v>
      </c>
    </row>
    <row r="32" spans="1:13" x14ac:dyDescent="0.2">
      <c r="A32" s="14" t="s">
        <v>282</v>
      </c>
      <c r="B32" s="16">
        <v>9.0712124352331607</v>
      </c>
      <c r="C32" s="16">
        <v>9.1255804878048785</v>
      </c>
      <c r="D32" s="16">
        <v>1.5044549763033164</v>
      </c>
      <c r="E32" s="16">
        <v>9.1298252427184465</v>
      </c>
      <c r="F32" s="16">
        <v>8.5773333333333337</v>
      </c>
      <c r="G32" s="16">
        <v>2.7719354838709673</v>
      </c>
      <c r="H32" s="16">
        <v>8.8582420382165612</v>
      </c>
      <c r="I32" s="16">
        <v>8.7195999999999998</v>
      </c>
      <c r="J32" s="16">
        <v>1.8888687782805427</v>
      </c>
      <c r="K32" s="16">
        <v>8.5773333333333337</v>
      </c>
      <c r="L32" s="16">
        <v>9.2530999999999999</v>
      </c>
      <c r="M32" s="16">
        <v>4.2729712460063896</v>
      </c>
    </row>
    <row r="33" spans="1:13" x14ac:dyDescent="0.2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</row>
    <row r="34" spans="1:13" x14ac:dyDescent="0.2">
      <c r="A34" s="11" t="s">
        <v>286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</row>
    <row r="35" spans="1:13" x14ac:dyDescent="0.2">
      <c r="B35" s="13">
        <v>1</v>
      </c>
      <c r="C35" s="13">
        <v>2</v>
      </c>
      <c r="D35" s="13">
        <v>3</v>
      </c>
      <c r="E35" s="13">
        <v>4</v>
      </c>
      <c r="F35" s="13">
        <v>5</v>
      </c>
      <c r="G35" s="13">
        <v>6</v>
      </c>
      <c r="H35" s="13">
        <v>7</v>
      </c>
      <c r="I35" s="13">
        <v>8</v>
      </c>
      <c r="J35" s="13">
        <v>9</v>
      </c>
      <c r="K35" s="13">
        <v>10</v>
      </c>
      <c r="L35" s="13">
        <v>11</v>
      </c>
      <c r="M35" s="13">
        <v>12</v>
      </c>
    </row>
    <row r="36" spans="1:13" x14ac:dyDescent="0.2">
      <c r="A36" s="14" t="s">
        <v>275</v>
      </c>
      <c r="B36" s="16">
        <v>3.2591999999999999</v>
      </c>
      <c r="C36" s="16">
        <v>1.1716078431372547</v>
      </c>
      <c r="D36" s="16">
        <v>2.1014771395076202</v>
      </c>
      <c r="E36" s="16">
        <v>1.5863362831858407</v>
      </c>
      <c r="F36" s="16">
        <v>0.90078391959798998</v>
      </c>
      <c r="G36" s="16">
        <v>0.85359999999999991</v>
      </c>
      <c r="H36" s="16">
        <v>1.1564903225806453</v>
      </c>
      <c r="I36" s="16">
        <v>1.4226666666666667</v>
      </c>
      <c r="J36" s="16">
        <v>1.1950400000000001</v>
      </c>
      <c r="K36" s="16">
        <v>0.58580392156862737</v>
      </c>
      <c r="L36" s="16">
        <v>0.71133333333333337</v>
      </c>
      <c r="M36" s="16">
        <v>0.69749416342412462</v>
      </c>
    </row>
    <row r="37" spans="1:13" x14ac:dyDescent="0.2">
      <c r="A37" s="14" t="s">
        <v>276</v>
      </c>
      <c r="B37" s="16">
        <v>1.6445504587155964</v>
      </c>
      <c r="C37" s="16">
        <v>1.5863362831858407</v>
      </c>
      <c r="D37" s="16">
        <v>0.81852054794520557</v>
      </c>
      <c r="E37" s="16">
        <v>2.0232054176072238</v>
      </c>
      <c r="F37" s="16">
        <v>1.9254135338345864</v>
      </c>
      <c r="G37" s="16">
        <v>2.1728000000000001</v>
      </c>
      <c r="H37" s="16">
        <v>1.0127457627118643</v>
      </c>
      <c r="I37" s="16">
        <v>1.2713191489361704</v>
      </c>
      <c r="J37" s="16">
        <v>2.6092576419213973</v>
      </c>
      <c r="K37" s="16">
        <v>0.64947826086956517</v>
      </c>
      <c r="L37" s="16">
        <v>1.2448333333333332</v>
      </c>
      <c r="M37" s="16">
        <v>0.62241666666666662</v>
      </c>
    </row>
    <row r="38" spans="1:13" x14ac:dyDescent="0.2">
      <c r="A38" s="14" t="s">
        <v>277</v>
      </c>
      <c r="B38" s="16">
        <v>2.6794618834080715</v>
      </c>
      <c r="C38" s="16">
        <v>0.94345263157894732</v>
      </c>
      <c r="D38" s="16">
        <v>2.7705718701700155</v>
      </c>
      <c r="E38" s="16">
        <v>5.8389576547231279</v>
      </c>
      <c r="F38" s="16">
        <v>2.1571119133574004</v>
      </c>
      <c r="G38" s="16">
        <v>1.0544470588235295</v>
      </c>
      <c r="H38" s="16">
        <v>1.4937999999999998</v>
      </c>
      <c r="I38" s="16">
        <v>1.0185</v>
      </c>
      <c r="J38" s="16">
        <v>1.0243200000000001</v>
      </c>
      <c r="K38" s="16">
        <v>0.51216000000000006</v>
      </c>
      <c r="L38" s="16">
        <v>0.56726582278481008</v>
      </c>
      <c r="M38" s="16">
        <v>0.90078391959798998</v>
      </c>
    </row>
    <row r="39" spans="1:13" x14ac:dyDescent="0.2">
      <c r="A39" s="14" t="s">
        <v>278</v>
      </c>
      <c r="B39" s="12" t="s">
        <v>274</v>
      </c>
      <c r="C39" s="16">
        <v>1.3788923076923076</v>
      </c>
      <c r="D39" s="16">
        <v>2.5176404494382019</v>
      </c>
      <c r="E39" s="16">
        <v>6.3341342756183741</v>
      </c>
      <c r="F39" s="16">
        <v>3.592304609218437</v>
      </c>
      <c r="G39" s="16">
        <v>3.106689774696707</v>
      </c>
      <c r="H39" s="16">
        <v>1.0361618497109828</v>
      </c>
      <c r="I39" s="16">
        <v>1.0302068965517241</v>
      </c>
      <c r="J39" s="16">
        <v>1.236248275862069</v>
      </c>
      <c r="K39" s="16">
        <v>0.53509253731343287</v>
      </c>
      <c r="L39" s="16">
        <v>0.61812413793103449</v>
      </c>
      <c r="M39" s="16">
        <v>0.46319379844961239</v>
      </c>
    </row>
    <row r="40" spans="1:13" x14ac:dyDescent="0.2">
      <c r="A40" s="14" t="s">
        <v>279</v>
      </c>
      <c r="B40" s="16">
        <v>1.9917333333333334</v>
      </c>
      <c r="C40" s="16">
        <v>1.2030604026845635</v>
      </c>
      <c r="D40" s="16">
        <v>1.5321025641025643</v>
      </c>
      <c r="E40" s="16">
        <v>1.5863362831858407</v>
      </c>
      <c r="F40" s="16">
        <v>1.337731343283582</v>
      </c>
      <c r="G40" s="16">
        <v>0.89627999999999997</v>
      </c>
      <c r="H40" s="16">
        <v>1.0733892215568863</v>
      </c>
      <c r="I40" s="16">
        <v>1.5191186440677966</v>
      </c>
      <c r="J40" s="16">
        <v>1.5863362831858407</v>
      </c>
      <c r="K40" s="16">
        <v>0.90992893401015229</v>
      </c>
      <c r="L40" s="16">
        <v>3.7036363636363632</v>
      </c>
      <c r="M40" s="16">
        <v>0.93362499999999993</v>
      </c>
    </row>
    <row r="41" spans="1:13" x14ac:dyDescent="0.2">
      <c r="A41" s="14" t="s">
        <v>280</v>
      </c>
      <c r="B41" s="16">
        <v>1.2713191489361704</v>
      </c>
      <c r="C41" s="16">
        <v>0.90533333333333332</v>
      </c>
      <c r="D41" s="16">
        <v>1.3180588235294119</v>
      </c>
      <c r="E41" s="16">
        <v>2.2267826086956521</v>
      </c>
      <c r="F41" s="16">
        <v>0.9849230769230769</v>
      </c>
      <c r="G41" s="16">
        <v>1.0798554216867469</v>
      </c>
      <c r="H41" s="16">
        <v>3.5217288801571707</v>
      </c>
      <c r="I41" s="16">
        <v>3.2240287769784173</v>
      </c>
      <c r="J41" s="16">
        <v>0.96374193548387088</v>
      </c>
      <c r="K41" s="16">
        <v>1.2448333333333332</v>
      </c>
      <c r="L41" s="16">
        <v>5.1510344827586199</v>
      </c>
      <c r="M41" s="16">
        <v>0.64019999999999999</v>
      </c>
    </row>
    <row r="42" spans="1:13" x14ac:dyDescent="0.2">
      <c r="A42" s="14" t="s">
        <v>281</v>
      </c>
      <c r="B42" s="16">
        <v>0.7896740088105727</v>
      </c>
      <c r="C42" s="16">
        <v>1.0361618497109828</v>
      </c>
      <c r="D42" s="16">
        <v>1.1065185185185187</v>
      </c>
      <c r="E42" s="16">
        <v>3.592304609218437</v>
      </c>
      <c r="F42" s="16">
        <v>2.1213727810650886</v>
      </c>
      <c r="G42" s="16">
        <v>3.4605405405405412</v>
      </c>
      <c r="H42" s="16">
        <v>1.0864</v>
      </c>
      <c r="I42" s="16">
        <v>1.0014301675977653</v>
      </c>
      <c r="J42" s="16">
        <v>1.5863362831858407</v>
      </c>
      <c r="K42" s="16">
        <v>0.7468999999999999</v>
      </c>
      <c r="L42" s="16">
        <v>1.7574117647058825</v>
      </c>
      <c r="M42" s="16">
        <v>0.75002510460251059</v>
      </c>
    </row>
    <row r="43" spans="1:13" x14ac:dyDescent="0.2">
      <c r="A43" s="14" t="s">
        <v>282</v>
      </c>
      <c r="B43" s="16">
        <v>0.92878756476683944</v>
      </c>
      <c r="C43" s="16">
        <v>0.87441951219512193</v>
      </c>
      <c r="D43" s="16">
        <v>8.4955450236966836</v>
      </c>
      <c r="E43" s="16">
        <v>0.87017475728155347</v>
      </c>
      <c r="F43" s="16">
        <v>1.4226666666666667</v>
      </c>
      <c r="G43" s="16">
        <v>7.2280645161290327</v>
      </c>
      <c r="H43" s="16">
        <v>1.1417579617834395</v>
      </c>
      <c r="I43" s="16">
        <v>1.2804</v>
      </c>
      <c r="J43" s="16">
        <v>8.1111312217194573</v>
      </c>
      <c r="K43" s="16">
        <v>1.4226666666666667</v>
      </c>
      <c r="L43" s="16">
        <v>0.7468999999999999</v>
      </c>
      <c r="M43" s="16">
        <v>5.7270287539936104</v>
      </c>
    </row>
  </sheetData>
  <pageMargins left="0.7" right="0.7" top="0.75" bottom="0.75" header="0.3" footer="0.3"/>
  <pageSetup orientation="portrait" horizontalDpi="0" verticalDpi="0" copies="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plate 1 &amp; 2</vt:lpstr>
      <vt:lpstr>dilution plates</vt:lpstr>
      <vt:lpstr>'plate 1 &amp;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Elaine Mann</dc:creator>
  <cp:lastModifiedBy>Allison Elaine Mann</cp:lastModifiedBy>
  <cp:lastPrinted>2021-06-21T15:38:28Z</cp:lastPrinted>
  <dcterms:created xsi:type="dcterms:W3CDTF">2021-01-13T18:14:46Z</dcterms:created>
  <dcterms:modified xsi:type="dcterms:W3CDTF">2021-07-06T19:04:12Z</dcterms:modified>
</cp:coreProperties>
</file>